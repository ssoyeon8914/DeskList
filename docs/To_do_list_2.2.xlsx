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slicers/slicer1.xml" ContentType="application/vnd.ms-excel.slicer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2.xml" ContentType="application/vnd.ms-excel.slicer+xml"/>
  <Override PartName="/xl/slicers/slicer3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autoCompressPictures="0"/>
  <mc:AlternateContent xmlns:mc="http://schemas.openxmlformats.org/markup-compatibility/2006">
    <mc:Choice Requires="x15">
      <x15ac:absPath xmlns:x15ac="http://schemas.microsoft.com/office/spreadsheetml/2010/11/ac" url="E:\PARA\1_P 프로젝트\시크릿 브레인 26-1차\시크릿 브레인 26-1차 최종\2026.09.09 26-2차 구글 시트 오픈용\"/>
    </mc:Choice>
  </mc:AlternateContent>
  <xr:revisionPtr revIDLastSave="0" documentId="13_ncr:1_{1F312665-3E6E-41A3-9A49-DDA8251D9940}" xr6:coauthVersionLast="47" xr6:coauthVersionMax="47" xr10:uidLastSave="{00000000-0000-0000-0000-000000000000}"/>
  <bookViews>
    <workbookView xWindow="-110" yWindow="-110" windowWidth="25820" windowHeight="15500" tabRatio="599" activeTab="4" xr2:uid="{A42466C5-7F67-4F1F-80D5-9E5031192C46}"/>
  </bookViews>
  <sheets>
    <sheet name="달력" sheetId="1" r:id="rId1"/>
    <sheet name="할일" sheetId="5" r:id="rId2"/>
    <sheet name="만다라트" sheetId="20" r:id="rId3"/>
    <sheet name="세팅" sheetId="7" r:id="rId4"/>
    <sheet name="설명서" sheetId="23" r:id="rId5"/>
    <sheet name="피벗" sheetId="2" state="hidden" r:id="rId6"/>
  </sheets>
  <definedNames>
    <definedName name="날짜" localSheetId="0">달력!A$6</definedName>
    <definedName name="슬라이서_구분">#N/A</definedName>
    <definedName name="슬라이서_날짜">#N/A</definedName>
    <definedName name="슬라이서_시작일">#N/A</definedName>
    <definedName name="슬라이서_우선순위1">#N/A</definedName>
    <definedName name="슬라이서_월">#N/A</definedName>
    <definedName name="슬라이서_진행상태">#N/A</definedName>
    <definedName name="슬라이서_카테고리">#N/A</definedName>
  </definedNames>
  <calcPr calcId="191029"/>
  <pivotCaches>
    <pivotCache cacheId="66" r:id="rId7"/>
    <pivotCache cacheId="67" r:id="rId8"/>
    <pivotCache cacheId="68" r:id="rId9"/>
    <pivotCache cacheId="69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46BE6895-7355-4a93-B00E-2C351335B9C9}">
      <x15:slicerCaches xmlns:x14="http://schemas.microsoft.com/office/spreadsheetml/2009/9/main">
        <x14:slicerCache r:id="rId14"/>
        <x14:slicerCache r:id="rId15"/>
        <x14:slicerCache r:id="rId16"/>
        <x14:slicerCache r:id="rId1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5" l="1"/>
  <c r="J19" i="5"/>
  <c r="F10" i="5"/>
  <c r="J10" i="5"/>
  <c r="F11" i="5"/>
  <c r="J11" i="5"/>
  <c r="F12" i="5"/>
  <c r="J12" i="5"/>
  <c r="F13" i="5"/>
  <c r="J13" i="5"/>
  <c r="F14" i="5"/>
  <c r="J14" i="5"/>
  <c r="F15" i="5"/>
  <c r="J15" i="5"/>
  <c r="F16" i="5"/>
  <c r="J16" i="5"/>
  <c r="AM7" i="1" l="1"/>
  <c r="AL8" i="1"/>
  <c r="AM8" i="1"/>
  <c r="AN8" i="1"/>
  <c r="AL9" i="1"/>
  <c r="AM9" i="1"/>
  <c r="AN9" i="1"/>
  <c r="AK10" i="1"/>
  <c r="AL10" i="1"/>
  <c r="AM10" i="1"/>
  <c r="AN10" i="1"/>
  <c r="AO10" i="1"/>
  <c r="AJ11" i="1"/>
  <c r="AK11" i="1"/>
  <c r="AL11" i="1"/>
  <c r="AM11" i="1"/>
  <c r="AN11" i="1"/>
  <c r="AO11" i="1"/>
  <c r="AP11" i="1"/>
  <c r="AJ12" i="1"/>
  <c r="AK12" i="1"/>
  <c r="AL12" i="1"/>
  <c r="AM12" i="1"/>
  <c r="AN12" i="1"/>
  <c r="AO12" i="1"/>
  <c r="AP12" i="1"/>
  <c r="AI13" i="1"/>
  <c r="AJ13" i="1"/>
  <c r="AK13" i="1"/>
  <c r="AL13" i="1"/>
  <c r="AM13" i="1"/>
  <c r="AN13" i="1"/>
  <c r="AO13" i="1"/>
  <c r="AP13" i="1"/>
  <c r="AQ13" i="1"/>
  <c r="F18" i="5" l="1"/>
  <c r="J18" i="5"/>
  <c r="F17" i="5"/>
  <c r="J17" i="5"/>
  <c r="T11" i="2" l="1"/>
  <c r="K5" i="2"/>
  <c r="P4" i="2"/>
  <c r="P7" i="2"/>
  <c r="K4" i="2"/>
  <c r="P6" i="2"/>
  <c r="K6" i="2"/>
  <c r="P8" i="2"/>
  <c r="P5" i="2"/>
  <c r="U7" i="2" l="1"/>
  <c r="T8" i="2"/>
  <c r="U8" i="2" l="1"/>
  <c r="V8" i="2"/>
  <c r="V7" i="2"/>
  <c r="W8" i="2" l="1"/>
  <c r="W7" i="2"/>
  <c r="T4" i="2" l="1"/>
  <c r="U3" i="2"/>
  <c r="U4" i="2" s="1"/>
  <c r="K3" i="2"/>
  <c r="O6" i="2"/>
  <c r="O7" i="2"/>
  <c r="O8" i="2"/>
  <c r="O5" i="2"/>
  <c r="O4" i="2"/>
  <c r="O11" i="2" l="1"/>
  <c r="P11" i="2" s="1"/>
  <c r="V3" i="2"/>
  <c r="W4" i="2" l="1"/>
  <c r="W3" i="2"/>
  <c r="B7" i="1" s="1"/>
  <c r="Q4" i="2"/>
  <c r="Q5" i="2"/>
  <c r="Q7" i="2"/>
  <c r="Q8" i="2"/>
  <c r="Q6" i="2"/>
  <c r="D14" i="1" l="1" a="1"/>
  <c r="D14" i="1" s="1"/>
  <c r="C11" i="1" a="1"/>
  <c r="C11" i="1" s="1"/>
  <c r="C9" i="1" a="1"/>
  <c r="C9" i="1" s="1"/>
  <c r="C14" i="1" a="1"/>
  <c r="C14" i="1" s="1"/>
  <c r="E12" i="1" a="1"/>
  <c r="E12" i="1" s="1"/>
  <c r="B11" i="1" a="1"/>
  <c r="B11" i="1" s="1"/>
  <c r="B9" i="1" a="1"/>
  <c r="B9" i="1" s="1"/>
  <c r="B15" i="1" a="1"/>
  <c r="B15" i="1" s="1"/>
  <c r="E13" i="1" a="1"/>
  <c r="E13" i="1" s="1"/>
  <c r="B12" i="1" a="1"/>
  <c r="B12" i="1" s="1"/>
  <c r="E10" i="1" a="1"/>
  <c r="E10" i="1" s="1"/>
  <c r="D10" i="1" a="1"/>
  <c r="D10" i="1" s="1"/>
  <c r="E14" i="1" a="1"/>
  <c r="E14" i="1" s="1"/>
  <c r="B13" i="1" a="1"/>
  <c r="B13" i="1" s="1"/>
  <c r="B14" i="1" a="1"/>
  <c r="B14" i="1" s="1"/>
  <c r="C8" i="1" a="1"/>
  <c r="C8" i="1" s="1"/>
  <c r="D13" i="1" a="1"/>
  <c r="D13" i="1" s="1"/>
  <c r="B10" i="1" a="1"/>
  <c r="B10" i="1" s="1"/>
  <c r="E11" i="1" a="1"/>
  <c r="E11" i="1" s="1"/>
  <c r="C13" i="1" a="1"/>
  <c r="C13" i="1" s="1"/>
  <c r="C10" i="1" a="1"/>
  <c r="C10" i="1" s="1"/>
  <c r="E8" i="1" a="1"/>
  <c r="E8" i="1" s="1"/>
  <c r="D8" i="1" a="1"/>
  <c r="D8" i="1" s="1"/>
  <c r="E15" i="1" a="1"/>
  <c r="E15" i="1" s="1"/>
  <c r="D15" i="1" a="1"/>
  <c r="D15" i="1" s="1"/>
  <c r="D11" i="1" a="1"/>
  <c r="D11" i="1" s="1"/>
  <c r="E9" i="1" a="1"/>
  <c r="E9" i="1" s="1"/>
  <c r="D12" i="1" a="1"/>
  <c r="D12" i="1" s="1"/>
  <c r="B8" i="1" a="1"/>
  <c r="B8" i="1" s="1"/>
  <c r="C15" i="1" a="1"/>
  <c r="C15" i="1" s="1"/>
  <c r="C12" i="1" a="1"/>
  <c r="C12" i="1" s="1"/>
  <c r="D9" i="1" a="1"/>
  <c r="D9" i="1" s="1"/>
  <c r="F7" i="1"/>
  <c r="B6" i="1"/>
  <c r="H15" i="1" l="1" a="1"/>
  <c r="H15" i="1" s="1"/>
  <c r="H13" i="1" a="1"/>
  <c r="H13" i="1" s="1"/>
  <c r="F12" i="1" a="1"/>
  <c r="F12" i="1" s="1"/>
  <c r="G10" i="1" a="1"/>
  <c r="G10" i="1" s="1"/>
  <c r="G8" i="1" a="1"/>
  <c r="G8" i="1" s="1"/>
  <c r="G15" i="1" a="1"/>
  <c r="G15" i="1" s="1"/>
  <c r="I11" i="1" a="1"/>
  <c r="I11" i="1" s="1"/>
  <c r="F10" i="1" a="1"/>
  <c r="F10" i="1" s="1"/>
  <c r="F8" i="1" a="1"/>
  <c r="F8" i="1" s="1"/>
  <c r="H14" i="1" a="1"/>
  <c r="H14" i="1" s="1"/>
  <c r="H11" i="1" a="1"/>
  <c r="H11" i="1" s="1"/>
  <c r="I8" i="1" a="1"/>
  <c r="I8" i="1" s="1"/>
  <c r="G14" i="1" a="1"/>
  <c r="G14" i="1" s="1"/>
  <c r="G11" i="1" a="1"/>
  <c r="G11" i="1" s="1"/>
  <c r="H8" i="1" a="1"/>
  <c r="H8" i="1" s="1"/>
  <c r="F15" i="1" a="1"/>
  <c r="F15" i="1" s="1"/>
  <c r="G9" i="1" a="1"/>
  <c r="G9" i="1" s="1"/>
  <c r="I15" i="1" a="1"/>
  <c r="I15" i="1" s="1"/>
  <c r="I12" i="1" a="1"/>
  <c r="I12" i="1" s="1"/>
  <c r="H12" i="1" a="1"/>
  <c r="H12" i="1" s="1"/>
  <c r="F14" i="1" a="1"/>
  <c r="F14" i="1" s="1"/>
  <c r="F11" i="1" a="1"/>
  <c r="F11" i="1" s="1"/>
  <c r="I9" i="1" a="1"/>
  <c r="I9" i="1" s="1"/>
  <c r="H9" i="1" a="1"/>
  <c r="H9" i="1" s="1"/>
  <c r="I14" i="1" a="1"/>
  <c r="I14" i="1" s="1"/>
  <c r="G13" i="1" a="1"/>
  <c r="G13" i="1" s="1"/>
  <c r="G12" i="1" a="1"/>
  <c r="G12" i="1" s="1"/>
  <c r="I10" i="1" a="1"/>
  <c r="I10" i="1" s="1"/>
  <c r="F9" i="1" a="1"/>
  <c r="F9" i="1" s="1"/>
  <c r="F13" i="1" a="1"/>
  <c r="F13" i="1" s="1"/>
  <c r="H10" i="1" a="1"/>
  <c r="H10" i="1" s="1"/>
  <c r="I13" i="1" a="1"/>
  <c r="I13" i="1" s="1"/>
  <c r="F6" i="1"/>
  <c r="J7" i="1"/>
  <c r="L14" i="1" l="1" a="1"/>
  <c r="L14" i="1" s="1"/>
  <c r="J11" i="1" a="1"/>
  <c r="J11" i="1" s="1"/>
  <c r="K9" i="1" a="1"/>
  <c r="K9" i="1" s="1"/>
  <c r="K14" i="1" a="1"/>
  <c r="K14" i="1" s="1"/>
  <c r="M12" i="1" a="1"/>
  <c r="M12" i="1" s="1"/>
  <c r="J9" i="1" a="1"/>
  <c r="J9" i="1" s="1"/>
  <c r="L15" i="1" a="1"/>
  <c r="L15" i="1" s="1"/>
  <c r="L12" i="1" a="1"/>
  <c r="L12" i="1" s="1"/>
  <c r="M9" i="1" a="1"/>
  <c r="M9" i="1" s="1"/>
  <c r="M13" i="1" a="1"/>
  <c r="M13" i="1" s="1"/>
  <c r="K12" i="1" a="1"/>
  <c r="K12" i="1" s="1"/>
  <c r="L9" i="1" a="1"/>
  <c r="L9" i="1" s="1"/>
  <c r="K15" i="1" a="1"/>
  <c r="K15" i="1" s="1"/>
  <c r="J13" i="1" a="1"/>
  <c r="J13" i="1" s="1"/>
  <c r="J15" i="1" a="1"/>
  <c r="J15" i="1" s="1"/>
  <c r="L13" i="1" a="1"/>
  <c r="L13" i="1" s="1"/>
  <c r="J12" i="1" a="1"/>
  <c r="J12" i="1" s="1"/>
  <c r="M10" i="1" a="1"/>
  <c r="M10" i="1" s="1"/>
  <c r="K13" i="1" a="1"/>
  <c r="K13" i="1" s="1"/>
  <c r="L10" i="1" a="1"/>
  <c r="L10" i="1" s="1"/>
  <c r="K10" i="1" a="1"/>
  <c r="K10" i="1" s="1"/>
  <c r="M8" i="1" a="1"/>
  <c r="M8" i="1" s="1"/>
  <c r="K11" i="1" a="1"/>
  <c r="K11" i="1" s="1"/>
  <c r="J8" i="1" a="1"/>
  <c r="J8" i="1" s="1"/>
  <c r="J10" i="1" a="1"/>
  <c r="J10" i="1" s="1"/>
  <c r="M11" i="1" a="1"/>
  <c r="M11" i="1" s="1"/>
  <c r="L8" i="1" a="1"/>
  <c r="L8" i="1" s="1"/>
  <c r="M15" i="1" a="1"/>
  <c r="M15" i="1" s="1"/>
  <c r="M14" i="1" a="1"/>
  <c r="M14" i="1" s="1"/>
  <c r="J14" i="1" a="1"/>
  <c r="J14" i="1" s="1"/>
  <c r="L11" i="1" a="1"/>
  <c r="L11" i="1" s="1"/>
  <c r="K8" i="1" a="1"/>
  <c r="K8" i="1" s="1"/>
  <c r="N7" i="1"/>
  <c r="J6" i="1"/>
  <c r="P15" i="1" l="1" a="1"/>
  <c r="P15" i="1" s="1"/>
  <c r="P13" i="1" a="1"/>
  <c r="P13" i="1" s="1"/>
  <c r="N12" i="1" a="1"/>
  <c r="N12" i="1" s="1"/>
  <c r="O10" i="1" a="1"/>
  <c r="O10" i="1" s="1"/>
  <c r="O8" i="1" a="1"/>
  <c r="O8" i="1" s="1"/>
  <c r="O15" i="1" a="1"/>
  <c r="O15" i="1" s="1"/>
  <c r="O13" i="1" a="1"/>
  <c r="O13" i="1" s="1"/>
  <c r="Q11" i="1" a="1"/>
  <c r="Q11" i="1" s="1"/>
  <c r="N10" i="1" a="1"/>
  <c r="N10" i="1" s="1"/>
  <c r="N8" i="1" a="1"/>
  <c r="N8" i="1" s="1"/>
  <c r="N13" i="1" a="1"/>
  <c r="N13" i="1" s="1"/>
  <c r="Q10" i="1" a="1"/>
  <c r="Q10" i="1" s="1"/>
  <c r="P8" i="1" a="1"/>
  <c r="P8" i="1" s="1"/>
  <c r="Q14" i="1" a="1"/>
  <c r="Q14" i="1" s="1"/>
  <c r="P10" i="1" a="1"/>
  <c r="P10" i="1" s="1"/>
  <c r="N14" i="1" a="1"/>
  <c r="N14" i="1" s="1"/>
  <c r="P14" i="1" a="1"/>
  <c r="P14" i="1" s="1"/>
  <c r="P11" i="1" a="1"/>
  <c r="P11" i="1" s="1"/>
  <c r="Q8" i="1" a="1"/>
  <c r="Q8" i="1" s="1"/>
  <c r="O14" i="1" a="1"/>
  <c r="O14" i="1" s="1"/>
  <c r="O11" i="1" a="1"/>
  <c r="O11" i="1" s="1"/>
  <c r="N11" i="1" a="1"/>
  <c r="N11" i="1" s="1"/>
  <c r="Q9" i="1" a="1"/>
  <c r="Q9" i="1" s="1"/>
  <c r="Q13" i="1" a="1"/>
  <c r="Q13" i="1" s="1"/>
  <c r="Q15" i="1" a="1"/>
  <c r="Q15" i="1" s="1"/>
  <c r="Q12" i="1" a="1"/>
  <c r="Q12" i="1" s="1"/>
  <c r="P9" i="1" a="1"/>
  <c r="P9" i="1" s="1"/>
  <c r="N15" i="1" a="1"/>
  <c r="N15" i="1" s="1"/>
  <c r="O12" i="1" a="1"/>
  <c r="O12" i="1" s="1"/>
  <c r="N9" i="1" a="1"/>
  <c r="N9" i="1" s="1"/>
  <c r="P12" i="1" a="1"/>
  <c r="P12" i="1" s="1"/>
  <c r="O9" i="1" a="1"/>
  <c r="O9" i="1" s="1"/>
  <c r="N6" i="1"/>
  <c r="R7" i="1"/>
  <c r="T14" i="1" l="1" a="1"/>
  <c r="T14" i="1" s="1"/>
  <c r="R11" i="1" a="1"/>
  <c r="R11" i="1" s="1"/>
  <c r="S9" i="1" a="1"/>
  <c r="S9" i="1" s="1"/>
  <c r="S14" i="1" a="1"/>
  <c r="S14" i="1" s="1"/>
  <c r="U12" i="1" a="1"/>
  <c r="U12" i="1" s="1"/>
  <c r="R9" i="1" a="1"/>
  <c r="R9" i="1" s="1"/>
  <c r="R14" i="1" a="1"/>
  <c r="R14" i="1" s="1"/>
  <c r="T11" i="1" a="1"/>
  <c r="T11" i="1" s="1"/>
  <c r="S8" i="1" a="1"/>
  <c r="S8" i="1" s="1"/>
  <c r="U15" i="1" a="1"/>
  <c r="U15" i="1" s="1"/>
  <c r="R8" i="1" a="1"/>
  <c r="R8" i="1" s="1"/>
  <c r="T9" i="1" a="1"/>
  <c r="T9" i="1" s="1"/>
  <c r="U10" i="1" a="1"/>
  <c r="U10" i="1" s="1"/>
  <c r="S11" i="1" a="1"/>
  <c r="S11" i="1" s="1"/>
  <c r="U13" i="1" a="1"/>
  <c r="U13" i="1" s="1"/>
  <c r="T15" i="1" a="1"/>
  <c r="T15" i="1" s="1"/>
  <c r="T12" i="1" a="1"/>
  <c r="T12" i="1" s="1"/>
  <c r="U9" i="1" a="1"/>
  <c r="U9" i="1" s="1"/>
  <c r="S15" i="1" a="1"/>
  <c r="S15" i="1" s="1"/>
  <c r="S12" i="1" a="1"/>
  <c r="S12" i="1" s="1"/>
  <c r="R15" i="1" a="1"/>
  <c r="R15" i="1" s="1"/>
  <c r="T13" i="1" a="1"/>
  <c r="T13" i="1" s="1"/>
  <c r="R12" i="1" a="1"/>
  <c r="R12" i="1" s="1"/>
  <c r="T10" i="1" a="1"/>
  <c r="T10" i="1" s="1"/>
  <c r="U14" i="1" a="1"/>
  <c r="U14" i="1" s="1"/>
  <c r="S10" i="1" a="1"/>
  <c r="S10" i="1" s="1"/>
  <c r="R10" i="1" a="1"/>
  <c r="R10" i="1" s="1"/>
  <c r="U8" i="1" a="1"/>
  <c r="U8" i="1" s="1"/>
  <c r="S13" i="1" a="1"/>
  <c r="S13" i="1" s="1"/>
  <c r="R13" i="1" a="1"/>
  <c r="R13" i="1" s="1"/>
  <c r="U11" i="1" a="1"/>
  <c r="U11" i="1" s="1"/>
  <c r="T8" i="1" a="1"/>
  <c r="T8" i="1" s="1"/>
  <c r="V7" i="1"/>
  <c r="R6" i="1"/>
  <c r="X15" i="1" l="1" a="1"/>
  <c r="X15" i="1" s="1"/>
  <c r="X13" i="1" a="1"/>
  <c r="X13" i="1" s="1"/>
  <c r="V12" i="1" a="1"/>
  <c r="V12" i="1" s="1"/>
  <c r="W10" i="1" a="1"/>
  <c r="W10" i="1" s="1"/>
  <c r="W8" i="1" a="1"/>
  <c r="W8" i="1" s="1"/>
  <c r="W15" i="1" a="1"/>
  <c r="W15" i="1" s="1"/>
  <c r="W13" i="1" a="1"/>
  <c r="W13" i="1" s="1"/>
  <c r="Y11" i="1" a="1"/>
  <c r="Y11" i="1" s="1"/>
  <c r="V10" i="1" a="1"/>
  <c r="V10" i="1" s="1"/>
  <c r="V8" i="1" a="1"/>
  <c r="V8" i="1" s="1"/>
  <c r="V15" i="1" a="1"/>
  <c r="V15" i="1" s="1"/>
  <c r="W12" i="1" a="1"/>
  <c r="W12" i="1" s="1"/>
  <c r="W9" i="1" a="1"/>
  <c r="W9" i="1" s="1"/>
  <c r="V9" i="1" a="1"/>
  <c r="V9" i="1" s="1"/>
  <c r="Y14" i="1" a="1"/>
  <c r="Y14" i="1" s="1"/>
  <c r="X10" i="1" a="1"/>
  <c r="X10" i="1" s="1"/>
  <c r="X11" i="1" a="1"/>
  <c r="X11" i="1" s="1"/>
  <c r="Y13" i="1" a="1"/>
  <c r="Y13" i="1" s="1"/>
  <c r="Y8" i="1" a="1"/>
  <c r="Y8" i="1" s="1"/>
  <c r="V13" i="1" a="1"/>
  <c r="V13" i="1" s="1"/>
  <c r="Y10" i="1" a="1"/>
  <c r="Y10" i="1" s="1"/>
  <c r="X14" i="1" a="1"/>
  <c r="X14" i="1" s="1"/>
  <c r="V14" i="1" a="1"/>
  <c r="V14" i="1" s="1"/>
  <c r="X12" i="1" a="1"/>
  <c r="X12" i="1" s="1"/>
  <c r="W14" i="1" a="1"/>
  <c r="W14" i="1" s="1"/>
  <c r="W11" i="1" a="1"/>
  <c r="W11" i="1" s="1"/>
  <c r="X8" i="1" a="1"/>
  <c r="X8" i="1" s="1"/>
  <c r="Y15" i="1" a="1"/>
  <c r="Y15" i="1" s="1"/>
  <c r="V11" i="1" a="1"/>
  <c r="V11" i="1" s="1"/>
  <c r="Y12" i="1" a="1"/>
  <c r="Y12" i="1" s="1"/>
  <c r="Y9" i="1" a="1"/>
  <c r="Y9" i="1" s="1"/>
  <c r="X9" i="1" a="1"/>
  <c r="X9" i="1" s="1"/>
  <c r="V6" i="1"/>
  <c r="Z7" i="1"/>
  <c r="AB14" i="1" l="1" a="1"/>
  <c r="AB14" i="1" s="1"/>
  <c r="AC12" i="1" a="1"/>
  <c r="AC12" i="1" s="1"/>
  <c r="Z11" i="1" a="1"/>
  <c r="Z11" i="1" s="1"/>
  <c r="AA9" i="1" a="1"/>
  <c r="AA9" i="1" s="1"/>
  <c r="AA14" i="1" a="1"/>
  <c r="AA14" i="1" s="1"/>
  <c r="AB12" i="1" a="1"/>
  <c r="AB12" i="1" s="1"/>
  <c r="Z9" i="1" a="1"/>
  <c r="Z9" i="1" s="1"/>
  <c r="Z13" i="1" a="1"/>
  <c r="Z13" i="1" s="1"/>
  <c r="AA10" i="1" a="1"/>
  <c r="AA10" i="1" s="1"/>
  <c r="AC8" i="1" a="1"/>
  <c r="AC8" i="1" s="1"/>
  <c r="AC14" i="1" a="1"/>
  <c r="AC14" i="1" s="1"/>
  <c r="AC11" i="1" a="1"/>
  <c r="AC11" i="1" s="1"/>
  <c r="Z10" i="1" a="1"/>
  <c r="Z10" i="1" s="1"/>
  <c r="AC15" i="1" a="1"/>
  <c r="AC15" i="1" s="1"/>
  <c r="AA11" i="1" a="1"/>
  <c r="AA11" i="1" s="1"/>
  <c r="AA12" i="1" a="1"/>
  <c r="AA12" i="1" s="1"/>
  <c r="AB8" i="1" a="1"/>
  <c r="AB8" i="1" s="1"/>
  <c r="Z8" i="1" a="1"/>
  <c r="Z8" i="1" s="1"/>
  <c r="AB15" i="1" a="1"/>
  <c r="AB15" i="1" s="1"/>
  <c r="AC9" i="1" a="1"/>
  <c r="AC9" i="1" s="1"/>
  <c r="Z14" i="1" a="1"/>
  <c r="Z14" i="1" s="1"/>
  <c r="AB11" i="1" a="1"/>
  <c r="AB11" i="1" s="1"/>
  <c r="AA8" i="1" a="1"/>
  <c r="AA8" i="1" s="1"/>
  <c r="AC13" i="1" a="1"/>
  <c r="AC13" i="1" s="1"/>
  <c r="AA13" i="1" a="1"/>
  <c r="AA13" i="1" s="1"/>
  <c r="AB10" i="1" a="1"/>
  <c r="AB10" i="1" s="1"/>
  <c r="AA15" i="1" a="1"/>
  <c r="AA15" i="1" s="1"/>
  <c r="AB13" i="1" a="1"/>
  <c r="AB13" i="1" s="1"/>
  <c r="Z12" i="1" a="1"/>
  <c r="Z12" i="1" s="1"/>
  <c r="AC10" i="1" a="1"/>
  <c r="AC10" i="1" s="1"/>
  <c r="AB9" i="1" a="1"/>
  <c r="AB9" i="1" s="1"/>
  <c r="Z15" i="1" a="1"/>
  <c r="Z15" i="1" s="1"/>
  <c r="B17" i="1"/>
  <c r="Z6" i="1"/>
  <c r="B25" i="1" l="1" a="1"/>
  <c r="B25" i="1" s="1"/>
  <c r="E23" i="1" a="1"/>
  <c r="E23" i="1" s="1"/>
  <c r="D20" i="1" a="1"/>
  <c r="D20" i="1" s="1"/>
  <c r="D18" i="1" a="1"/>
  <c r="D18" i="1" s="1"/>
  <c r="D23" i="1" a="1"/>
  <c r="D23" i="1" s="1"/>
  <c r="E21" i="1" a="1"/>
  <c r="E21" i="1" s="1"/>
  <c r="C20" i="1" a="1"/>
  <c r="C20" i="1" s="1"/>
  <c r="C18" i="1" a="1"/>
  <c r="C18" i="1" s="1"/>
  <c r="C23" i="1" a="1"/>
  <c r="C23" i="1" s="1"/>
  <c r="E25" i="1" a="1"/>
  <c r="E25" i="1" s="1"/>
  <c r="C22" i="1" a="1"/>
  <c r="C22" i="1" s="1"/>
  <c r="B20" i="1" a="1"/>
  <c r="B20" i="1" s="1"/>
  <c r="D24" i="1" a="1"/>
  <c r="D24" i="1" s="1"/>
  <c r="E19" i="1" a="1"/>
  <c r="E19" i="1" s="1"/>
  <c r="D25" i="1" a="1"/>
  <c r="D25" i="1" s="1"/>
  <c r="B22" i="1" a="1"/>
  <c r="B22" i="1" s="1"/>
  <c r="D21" i="1" a="1"/>
  <c r="D21" i="1" s="1"/>
  <c r="E18" i="1" a="1"/>
  <c r="E18" i="1" s="1"/>
  <c r="B21" i="1" a="1"/>
  <c r="B21" i="1" s="1"/>
  <c r="D19" i="1" a="1"/>
  <c r="D19" i="1" s="1"/>
  <c r="C25" i="1" a="1"/>
  <c r="C25" i="1" s="1"/>
  <c r="E24" i="1" a="1"/>
  <c r="E24" i="1" s="1"/>
  <c r="C21" i="1" a="1"/>
  <c r="C21" i="1" s="1"/>
  <c r="B18" i="1" a="1"/>
  <c r="B18" i="1" s="1"/>
  <c r="C24" i="1" a="1"/>
  <c r="C24" i="1" s="1"/>
  <c r="C19" i="1" a="1"/>
  <c r="C19" i="1" s="1"/>
  <c r="D22" i="1" a="1"/>
  <c r="D22" i="1" s="1"/>
  <c r="B23" i="1" a="1"/>
  <c r="B23" i="1" s="1"/>
  <c r="B24" i="1" a="1"/>
  <c r="B24" i="1" s="1"/>
  <c r="E22" i="1" a="1"/>
  <c r="E22" i="1" s="1"/>
  <c r="E20" i="1" a="1"/>
  <c r="E20" i="1" s="1"/>
  <c r="B19" i="1" a="1"/>
  <c r="B19" i="1" s="1"/>
  <c r="F17" i="1"/>
  <c r="H24" i="1" l="1" a="1"/>
  <c r="H24" i="1" s="1"/>
  <c r="I22" i="1" a="1"/>
  <c r="I22" i="1" s="1"/>
  <c r="F21" i="1" a="1"/>
  <c r="F21" i="1" s="1"/>
  <c r="H19" i="1" a="1"/>
  <c r="H19" i="1" s="1"/>
  <c r="I25" i="1" a="1"/>
  <c r="I25" i="1" s="1"/>
  <c r="G24" i="1" a="1"/>
  <c r="G24" i="1" s="1"/>
  <c r="H22" i="1" a="1"/>
  <c r="H22" i="1" s="1"/>
  <c r="G19" i="1" a="1"/>
  <c r="G19" i="1" s="1"/>
  <c r="H25" i="1" a="1"/>
  <c r="H25" i="1" s="1"/>
  <c r="F24" i="1" a="1"/>
  <c r="F24" i="1" s="1"/>
  <c r="G22" i="1" a="1"/>
  <c r="G22" i="1" s="1"/>
  <c r="G21" i="1" a="1"/>
  <c r="G21" i="1" s="1"/>
  <c r="F18" i="1" a="1"/>
  <c r="F18" i="1" s="1"/>
  <c r="I20" i="1" a="1"/>
  <c r="I20" i="1" s="1"/>
  <c r="G23" i="1" a="1"/>
  <c r="G23" i="1" s="1"/>
  <c r="I24" i="1" a="1"/>
  <c r="I24" i="1" s="1"/>
  <c r="I19" i="1" a="1"/>
  <c r="I19" i="1" s="1"/>
  <c r="H23" i="1" a="1"/>
  <c r="H23" i="1" s="1"/>
  <c r="I23" i="1" a="1"/>
  <c r="I23" i="1" s="1"/>
  <c r="F19" i="1" a="1"/>
  <c r="F19" i="1" s="1"/>
  <c r="H20" i="1" a="1"/>
  <c r="H20" i="1" s="1"/>
  <c r="I21" i="1" a="1"/>
  <c r="I21" i="1" s="1"/>
  <c r="G20" i="1" a="1"/>
  <c r="G20" i="1" s="1"/>
  <c r="H18" i="1" a="1"/>
  <c r="H18" i="1" s="1"/>
  <c r="F22" i="1" a="1"/>
  <c r="F22" i="1" s="1"/>
  <c r="F20" i="1" a="1"/>
  <c r="F20" i="1" s="1"/>
  <c r="G25" i="1" a="1"/>
  <c r="G25" i="1" s="1"/>
  <c r="H21" i="1" a="1"/>
  <c r="H21" i="1" s="1"/>
  <c r="G18" i="1" a="1"/>
  <c r="G18" i="1" s="1"/>
  <c r="F23" i="1" a="1"/>
  <c r="F23" i="1" s="1"/>
  <c r="F25" i="1" a="1"/>
  <c r="F25" i="1" s="1"/>
  <c r="I18" i="1" a="1"/>
  <c r="I18" i="1" s="1"/>
  <c r="J17" i="1"/>
  <c r="J25" i="1" l="1" a="1"/>
  <c r="J25" i="1" s="1"/>
  <c r="L23" i="1" a="1"/>
  <c r="L23" i="1" s="1"/>
  <c r="L20" i="1" a="1"/>
  <c r="L20" i="1" s="1"/>
  <c r="L18" i="1" a="1"/>
  <c r="L18" i="1" s="1"/>
  <c r="K23" i="1" a="1"/>
  <c r="K23" i="1" s="1"/>
  <c r="M21" i="1" a="1"/>
  <c r="M21" i="1" s="1"/>
  <c r="K20" i="1" a="1"/>
  <c r="K20" i="1" s="1"/>
  <c r="K18" i="1" a="1"/>
  <c r="K18" i="1" s="1"/>
  <c r="M24" i="1" a="1"/>
  <c r="M24" i="1" s="1"/>
  <c r="J23" i="1" a="1"/>
  <c r="J23" i="1" s="1"/>
  <c r="L21" i="1" a="1"/>
  <c r="L21" i="1" s="1"/>
  <c r="J24" i="1" a="1"/>
  <c r="J24" i="1" s="1"/>
  <c r="M23" i="1" a="1"/>
  <c r="M23" i="1" s="1"/>
  <c r="J19" i="1" a="1"/>
  <c r="J19" i="1" s="1"/>
  <c r="M25" i="1" a="1"/>
  <c r="M25" i="1" s="1"/>
  <c r="K21" i="1" a="1"/>
  <c r="K21" i="1" s="1"/>
  <c r="J18" i="1" a="1"/>
  <c r="J18" i="1" s="1"/>
  <c r="M22" i="1" a="1"/>
  <c r="M22" i="1" s="1"/>
  <c r="M20" i="1" a="1"/>
  <c r="M20" i="1" s="1"/>
  <c r="J22" i="1" a="1"/>
  <c r="J22" i="1" s="1"/>
  <c r="K25" i="1" a="1"/>
  <c r="K25" i="1" s="1"/>
  <c r="L22" i="1" a="1"/>
  <c r="L22" i="1" s="1"/>
  <c r="J20" i="1" a="1"/>
  <c r="J20" i="1" s="1"/>
  <c r="K22" i="1" a="1"/>
  <c r="K22" i="1" s="1"/>
  <c r="M18" i="1" a="1"/>
  <c r="M18" i="1" s="1"/>
  <c r="L25" i="1" a="1"/>
  <c r="L25" i="1" s="1"/>
  <c r="K19" i="1" a="1"/>
  <c r="K19" i="1" s="1"/>
  <c r="L19" i="1" a="1"/>
  <c r="L19" i="1" s="1"/>
  <c r="L24" i="1" a="1"/>
  <c r="L24" i="1" s="1"/>
  <c r="K24" i="1" a="1"/>
  <c r="K24" i="1" s="1"/>
  <c r="M19" i="1" a="1"/>
  <c r="M19" i="1" s="1"/>
  <c r="J21" i="1" a="1"/>
  <c r="J21" i="1" s="1"/>
  <c r="N17" i="1"/>
  <c r="O24" i="1" l="1" a="1"/>
  <c r="O24" i="1" s="1"/>
  <c r="Q22" i="1" a="1"/>
  <c r="Q22" i="1" s="1"/>
  <c r="N21" i="1" a="1"/>
  <c r="N21" i="1" s="1"/>
  <c r="P19" i="1" a="1"/>
  <c r="P19" i="1" s="1"/>
  <c r="Q25" i="1" a="1"/>
  <c r="Q25" i="1" s="1"/>
  <c r="N24" i="1" a="1"/>
  <c r="N24" i="1" s="1"/>
  <c r="P22" i="1" a="1"/>
  <c r="P22" i="1" s="1"/>
  <c r="O19" i="1" a="1"/>
  <c r="O19" i="1" s="1"/>
  <c r="P25" i="1" a="1"/>
  <c r="P25" i="1" s="1"/>
  <c r="O22" i="1" a="1"/>
  <c r="O22" i="1" s="1"/>
  <c r="N22" i="1" a="1"/>
  <c r="N22" i="1" s="1"/>
  <c r="Q21" i="1" a="1"/>
  <c r="Q21" i="1" s="1"/>
  <c r="N20" i="1" a="1"/>
  <c r="N20" i="1" s="1"/>
  <c r="P18" i="1" a="1"/>
  <c r="P18" i="1" s="1"/>
  <c r="O21" i="1" a="1"/>
  <c r="O21" i="1" s="1"/>
  <c r="P24" i="1" a="1"/>
  <c r="P24" i="1" s="1"/>
  <c r="O25" i="1" a="1"/>
  <c r="O25" i="1" s="1"/>
  <c r="O18" i="1" a="1"/>
  <c r="O18" i="1" s="1"/>
  <c r="Q24" i="1" a="1"/>
  <c r="Q24" i="1" s="1"/>
  <c r="Q23" i="1" a="1"/>
  <c r="Q23" i="1" s="1"/>
  <c r="N25" i="1" a="1"/>
  <c r="N25" i="1" s="1"/>
  <c r="P21" i="1" a="1"/>
  <c r="P21" i="1" s="1"/>
  <c r="N18" i="1" a="1"/>
  <c r="N18" i="1" s="1"/>
  <c r="Q19" i="1" a="1"/>
  <c r="Q19" i="1" s="1"/>
  <c r="N19" i="1" a="1"/>
  <c r="N19" i="1" s="1"/>
  <c r="P23" i="1" a="1"/>
  <c r="P23" i="1" s="1"/>
  <c r="Q20" i="1" a="1"/>
  <c r="Q20" i="1" s="1"/>
  <c r="Q18" i="1" a="1"/>
  <c r="Q18" i="1" s="1"/>
  <c r="O23" i="1" a="1"/>
  <c r="O23" i="1" s="1"/>
  <c r="P20" i="1" a="1"/>
  <c r="P20" i="1" s="1"/>
  <c r="O20" i="1" a="1"/>
  <c r="O20" i="1" s="1"/>
  <c r="N23" i="1" a="1"/>
  <c r="N23" i="1" s="1"/>
  <c r="R17" i="1"/>
  <c r="R25" i="1" l="1" a="1"/>
  <c r="R25" i="1" s="1"/>
  <c r="T23" i="1" a="1"/>
  <c r="T23" i="1" s="1"/>
  <c r="U21" i="1" a="1"/>
  <c r="U21" i="1" s="1"/>
  <c r="T20" i="1" a="1"/>
  <c r="T20" i="1" s="1"/>
  <c r="T18" i="1" a="1"/>
  <c r="T18" i="1" s="1"/>
  <c r="U24" i="1" a="1"/>
  <c r="U24" i="1" s="1"/>
  <c r="S23" i="1" a="1"/>
  <c r="S23" i="1" s="1"/>
  <c r="T21" i="1" a="1"/>
  <c r="T21" i="1" s="1"/>
  <c r="S20" i="1" a="1"/>
  <c r="S20" i="1" s="1"/>
  <c r="S18" i="1" a="1"/>
  <c r="S18" i="1" s="1"/>
  <c r="T24" i="1" a="1"/>
  <c r="T24" i="1" s="1"/>
  <c r="R23" i="1" a="1"/>
  <c r="R23" i="1" s="1"/>
  <c r="S21" i="1" a="1"/>
  <c r="S21" i="1" s="1"/>
  <c r="S25" i="1" a="1"/>
  <c r="S25" i="1" s="1"/>
  <c r="S24" i="1" a="1"/>
  <c r="S24" i="1" s="1"/>
  <c r="T19" i="1" a="1"/>
  <c r="T19" i="1" s="1"/>
  <c r="S19" i="1" a="1"/>
  <c r="S19" i="1" s="1"/>
  <c r="R20" i="1" a="1"/>
  <c r="R20" i="1" s="1"/>
  <c r="R24" i="1" a="1"/>
  <c r="R24" i="1" s="1"/>
  <c r="R19" i="1" a="1"/>
  <c r="R19" i="1" s="1"/>
  <c r="U23" i="1" a="1"/>
  <c r="U23" i="1" s="1"/>
  <c r="U20" i="1" a="1"/>
  <c r="U20" i="1" s="1"/>
  <c r="U22" i="1" a="1"/>
  <c r="U22" i="1" s="1"/>
  <c r="R22" i="1" a="1"/>
  <c r="R22" i="1" s="1"/>
  <c r="R21" i="1" a="1"/>
  <c r="R21" i="1" s="1"/>
  <c r="S22" i="1" a="1"/>
  <c r="S22" i="1" s="1"/>
  <c r="U25" i="1" a="1"/>
  <c r="U25" i="1" s="1"/>
  <c r="U19" i="1" a="1"/>
  <c r="U19" i="1" s="1"/>
  <c r="U18" i="1" a="1"/>
  <c r="U18" i="1" s="1"/>
  <c r="T25" i="1" a="1"/>
  <c r="T25" i="1" s="1"/>
  <c r="R18" i="1" a="1"/>
  <c r="R18" i="1" s="1"/>
  <c r="T22" i="1" a="1"/>
  <c r="T22" i="1" s="1"/>
  <c r="V17" i="1"/>
  <c r="Y25" i="1" l="1" a="1"/>
  <c r="Y25" i="1" s="1"/>
  <c r="V24" i="1" a="1"/>
  <c r="V24" i="1" s="1"/>
  <c r="Y22" i="1" a="1"/>
  <c r="Y22" i="1" s="1"/>
  <c r="X19" i="1" a="1"/>
  <c r="X19" i="1" s="1"/>
  <c r="X25" i="1" a="1"/>
  <c r="X25" i="1" s="1"/>
  <c r="X22" i="1" a="1"/>
  <c r="X22" i="1" s="1"/>
  <c r="W19" i="1" a="1"/>
  <c r="W19" i="1" s="1"/>
  <c r="W25" i="1" a="1"/>
  <c r="W25" i="1" s="1"/>
  <c r="W22" i="1" a="1"/>
  <c r="W22" i="1" s="1"/>
  <c r="X23" i="1" a="1"/>
  <c r="X23" i="1" s="1"/>
  <c r="X20" i="1" a="1"/>
  <c r="X20" i="1" s="1"/>
  <c r="Y18" i="1" a="1"/>
  <c r="Y18" i="1" s="1"/>
  <c r="V22" i="1" a="1"/>
  <c r="V22" i="1" s="1"/>
  <c r="W23" i="1" a="1"/>
  <c r="W23" i="1" s="1"/>
  <c r="W20" i="1" a="1"/>
  <c r="W20" i="1" s="1"/>
  <c r="W18" i="1" a="1"/>
  <c r="W18" i="1" s="1"/>
  <c r="V23" i="1" a="1"/>
  <c r="V23" i="1" s="1"/>
  <c r="V20" i="1" a="1"/>
  <c r="V20" i="1" s="1"/>
  <c r="X18" i="1" a="1"/>
  <c r="X18" i="1" s="1"/>
  <c r="Y21" i="1" a="1"/>
  <c r="Y21" i="1" s="1"/>
  <c r="X21" i="1" a="1"/>
  <c r="X21" i="1" s="1"/>
  <c r="V18" i="1" a="1"/>
  <c r="V18" i="1" s="1"/>
  <c r="V25" i="1" a="1"/>
  <c r="V25" i="1" s="1"/>
  <c r="Y24" i="1" a="1"/>
  <c r="Y24" i="1" s="1"/>
  <c r="V19" i="1" a="1"/>
  <c r="V19" i="1" s="1"/>
  <c r="X24" i="1" a="1"/>
  <c r="X24" i="1" s="1"/>
  <c r="Y19" i="1" a="1"/>
  <c r="Y19" i="1" s="1"/>
  <c r="W21" i="1" a="1"/>
  <c r="W21" i="1" s="1"/>
  <c r="Y23" i="1" a="1"/>
  <c r="Y23" i="1" s="1"/>
  <c r="W24" i="1" a="1"/>
  <c r="W24" i="1" s="1"/>
  <c r="Y20" i="1" a="1"/>
  <c r="Y20" i="1" s="1"/>
  <c r="V21" i="1" a="1"/>
  <c r="V21" i="1" s="1"/>
  <c r="Z17" i="1"/>
  <c r="AB23" i="1" l="1" a="1"/>
  <c r="AB23" i="1" s="1"/>
  <c r="AC21" i="1" a="1"/>
  <c r="AC21" i="1" s="1"/>
  <c r="AB18" i="1" a="1"/>
  <c r="AB18" i="1" s="1"/>
  <c r="AC24" i="1" a="1"/>
  <c r="AC24" i="1" s="1"/>
  <c r="AA23" i="1" a="1"/>
  <c r="AA23" i="1" s="1"/>
  <c r="AB21" i="1" a="1"/>
  <c r="AB21" i="1" s="1"/>
  <c r="AA20" i="1" a="1"/>
  <c r="AA20" i="1" s="1"/>
  <c r="AA18" i="1" a="1"/>
  <c r="AA18" i="1" s="1"/>
  <c r="Z20" i="1" a="1"/>
  <c r="Z20" i="1" s="1"/>
  <c r="AB24" i="1" a="1"/>
  <c r="AB24" i="1" s="1"/>
  <c r="Z23" i="1" a="1"/>
  <c r="Z23" i="1" s="1"/>
  <c r="AA21" i="1" a="1"/>
  <c r="AA21" i="1" s="1"/>
  <c r="AC25" i="1" a="1"/>
  <c r="AC25" i="1" s="1"/>
  <c r="AB22" i="1" a="1"/>
  <c r="AB22" i="1" s="1"/>
  <c r="Z18" i="1" a="1"/>
  <c r="Z18" i="1" s="1"/>
  <c r="Z19" i="1" a="1"/>
  <c r="Z19" i="1" s="1"/>
  <c r="AB25" i="1" a="1"/>
  <c r="AB25" i="1" s="1"/>
  <c r="AA22" i="1" a="1"/>
  <c r="AA22" i="1" s="1"/>
  <c r="AC19" i="1" a="1"/>
  <c r="AC19" i="1" s="1"/>
  <c r="Z25" i="1" a="1"/>
  <c r="Z25" i="1" s="1"/>
  <c r="AA19" i="1" a="1"/>
  <c r="AA19" i="1" s="1"/>
  <c r="Z24" i="1" a="1"/>
  <c r="Z24" i="1" s="1"/>
  <c r="AA25" i="1" a="1"/>
  <c r="AA25" i="1" s="1"/>
  <c r="Z22" i="1" a="1"/>
  <c r="Z22" i="1" s="1"/>
  <c r="Z21" i="1" a="1"/>
  <c r="Z21" i="1" s="1"/>
  <c r="AB19" i="1" a="1"/>
  <c r="AB19" i="1" s="1"/>
  <c r="AA24" i="1" a="1"/>
  <c r="AA24" i="1" s="1"/>
  <c r="AC18" i="1" a="1"/>
  <c r="AC18" i="1" s="1"/>
  <c r="AC22" i="1" a="1"/>
  <c r="AC22" i="1" s="1"/>
  <c r="AC23" i="1" a="1"/>
  <c r="AC23" i="1" s="1"/>
  <c r="AC20" i="1" a="1"/>
  <c r="AC20" i="1" s="1"/>
  <c r="AB20" i="1" a="1"/>
  <c r="AB20" i="1" s="1"/>
  <c r="B27" i="1"/>
  <c r="E35" i="1" l="1" a="1"/>
  <c r="E35" i="1" s="1"/>
  <c r="B34" i="1" a="1"/>
  <c r="B34" i="1" s="1"/>
  <c r="C32" i="1" a="1"/>
  <c r="C32" i="1" s="1"/>
  <c r="D35" i="1" a="1"/>
  <c r="D35" i="1" s="1"/>
  <c r="E33" i="1" a="1"/>
  <c r="E33" i="1" s="1"/>
  <c r="B32" i="1" a="1"/>
  <c r="B32" i="1" s="1"/>
  <c r="D34" i="1" a="1"/>
  <c r="D34" i="1" s="1"/>
  <c r="D31" i="1" a="1"/>
  <c r="D31" i="1" s="1"/>
  <c r="C30" i="1" a="1"/>
  <c r="C30" i="1" s="1"/>
  <c r="E28" i="1" a="1"/>
  <c r="E28" i="1" s="1"/>
  <c r="C34" i="1" a="1"/>
  <c r="C34" i="1" s="1"/>
  <c r="C31" i="1" a="1"/>
  <c r="C31" i="1" s="1"/>
  <c r="B30" i="1" a="1"/>
  <c r="B30" i="1" s="1"/>
  <c r="D28" i="1" a="1"/>
  <c r="D28" i="1" s="1"/>
  <c r="C35" i="1" a="1"/>
  <c r="C35" i="1" s="1"/>
  <c r="E32" i="1" a="1"/>
  <c r="E32" i="1" s="1"/>
  <c r="B31" i="1" a="1"/>
  <c r="B31" i="1" s="1"/>
  <c r="C28" i="1" a="1"/>
  <c r="C28" i="1" s="1"/>
  <c r="D30" i="1" a="1"/>
  <c r="D30" i="1" s="1"/>
  <c r="D32" i="1" a="1"/>
  <c r="D32" i="1" s="1"/>
  <c r="E34" i="1" a="1"/>
  <c r="E34" i="1" s="1"/>
  <c r="E31" i="1" a="1"/>
  <c r="E31" i="1" s="1"/>
  <c r="B35" i="1" a="1"/>
  <c r="B35" i="1" s="1"/>
  <c r="E29" i="1" a="1"/>
  <c r="E29" i="1" s="1"/>
  <c r="D33" i="1" a="1"/>
  <c r="D33" i="1" s="1"/>
  <c r="D29" i="1" a="1"/>
  <c r="D29" i="1" s="1"/>
  <c r="C33" i="1" a="1"/>
  <c r="C33" i="1" s="1"/>
  <c r="B28" i="1" a="1"/>
  <c r="B28" i="1" s="1"/>
  <c r="B29" i="1" a="1"/>
  <c r="B29" i="1" s="1"/>
  <c r="B33" i="1" a="1"/>
  <c r="B33" i="1" s="1"/>
  <c r="E30" i="1" a="1"/>
  <c r="E30" i="1" s="1"/>
  <c r="C29" i="1" a="1"/>
  <c r="C29" i="1" s="1"/>
  <c r="F27" i="1"/>
  <c r="F33" i="1" l="1" a="1"/>
  <c r="F33" i="1" s="1"/>
  <c r="I34" i="1" a="1"/>
  <c r="I34" i="1" s="1"/>
  <c r="G31" i="1" a="1"/>
  <c r="G31" i="1" s="1"/>
  <c r="F30" i="1" a="1"/>
  <c r="F30" i="1" s="1"/>
  <c r="G35" i="1" a="1"/>
  <c r="G35" i="1" s="1"/>
  <c r="G32" i="1" a="1"/>
  <c r="G32" i="1" s="1"/>
  <c r="I29" i="1" a="1"/>
  <c r="I29" i="1" s="1"/>
  <c r="F35" i="1" a="1"/>
  <c r="F35" i="1" s="1"/>
  <c r="I33" i="1" a="1"/>
  <c r="I33" i="1" s="1"/>
  <c r="F32" i="1" a="1"/>
  <c r="F32" i="1" s="1"/>
  <c r="H29" i="1" a="1"/>
  <c r="H29" i="1" s="1"/>
  <c r="H33" i="1" a="1"/>
  <c r="H33" i="1" s="1"/>
  <c r="G29" i="1" a="1"/>
  <c r="G29" i="1" s="1"/>
  <c r="F34" i="1" a="1"/>
  <c r="F34" i="1" s="1"/>
  <c r="F31" i="1" a="1"/>
  <c r="F31" i="1" s="1"/>
  <c r="G33" i="1" a="1"/>
  <c r="G33" i="1" s="1"/>
  <c r="H28" i="1" a="1"/>
  <c r="H28" i="1" s="1"/>
  <c r="G28" i="1" a="1"/>
  <c r="G28" i="1" s="1"/>
  <c r="I35" i="1" a="1"/>
  <c r="I35" i="1" s="1"/>
  <c r="I32" i="1" a="1"/>
  <c r="I32" i="1" s="1"/>
  <c r="F29" i="1" a="1"/>
  <c r="F29" i="1" s="1"/>
  <c r="H35" i="1" a="1"/>
  <c r="H35" i="1" s="1"/>
  <c r="H32" i="1" a="1"/>
  <c r="H32" i="1" s="1"/>
  <c r="I28" i="1" a="1"/>
  <c r="I28" i="1" s="1"/>
  <c r="I30" i="1" a="1"/>
  <c r="I30" i="1" s="1"/>
  <c r="H30" i="1" a="1"/>
  <c r="H30" i="1" s="1"/>
  <c r="H34" i="1" a="1"/>
  <c r="H34" i="1" s="1"/>
  <c r="I31" i="1" a="1"/>
  <c r="I31" i="1" s="1"/>
  <c r="H31" i="1" a="1"/>
  <c r="H31" i="1" s="1"/>
  <c r="G30" i="1" a="1"/>
  <c r="G30" i="1" s="1"/>
  <c r="F28" i="1" a="1"/>
  <c r="F28" i="1" s="1"/>
  <c r="G34" i="1" a="1"/>
  <c r="G34" i="1" s="1"/>
  <c r="J27" i="1"/>
  <c r="M35" i="1" l="1" a="1"/>
  <c r="M35" i="1" s="1"/>
  <c r="J34" i="1" a="1"/>
  <c r="J34" i="1" s="1"/>
  <c r="K32" i="1" a="1"/>
  <c r="K32" i="1" s="1"/>
  <c r="K29" i="1" a="1"/>
  <c r="K29" i="1" s="1"/>
  <c r="L35" i="1" a="1"/>
  <c r="L35" i="1" s="1"/>
  <c r="M33" i="1" a="1"/>
  <c r="M33" i="1" s="1"/>
  <c r="J32" i="1" a="1"/>
  <c r="J32" i="1" s="1"/>
  <c r="M30" i="1" a="1"/>
  <c r="M30" i="1" s="1"/>
  <c r="J29" i="1" a="1"/>
  <c r="J29" i="1" s="1"/>
  <c r="J33" i="1" a="1"/>
  <c r="J33" i="1" s="1"/>
  <c r="M31" i="1" a="1"/>
  <c r="M31" i="1" s="1"/>
  <c r="L30" i="1" a="1"/>
  <c r="L30" i="1" s="1"/>
  <c r="M28" i="1" a="1"/>
  <c r="M28" i="1" s="1"/>
  <c r="M34" i="1" a="1"/>
  <c r="M34" i="1" s="1"/>
  <c r="L31" i="1" a="1"/>
  <c r="L31" i="1" s="1"/>
  <c r="K30" i="1" a="1"/>
  <c r="K30" i="1" s="1"/>
  <c r="L28" i="1" a="1"/>
  <c r="L28" i="1" s="1"/>
  <c r="L34" i="1" a="1"/>
  <c r="L34" i="1" s="1"/>
  <c r="K31" i="1" a="1"/>
  <c r="K31" i="1" s="1"/>
  <c r="J30" i="1" a="1"/>
  <c r="J30" i="1" s="1"/>
  <c r="K28" i="1" a="1"/>
  <c r="K28" i="1" s="1"/>
  <c r="J35" i="1" a="1"/>
  <c r="J35" i="1" s="1"/>
  <c r="L32" i="1" a="1"/>
  <c r="L32" i="1" s="1"/>
  <c r="K34" i="1" a="1"/>
  <c r="K34" i="1" s="1"/>
  <c r="J31" i="1" a="1"/>
  <c r="J31" i="1" s="1"/>
  <c r="M29" i="1" a="1"/>
  <c r="M29" i="1" s="1"/>
  <c r="L33" i="1" a="1"/>
  <c r="L33" i="1" s="1"/>
  <c r="L29" i="1" a="1"/>
  <c r="L29" i="1" s="1"/>
  <c r="J28" i="1" a="1"/>
  <c r="J28" i="1" s="1"/>
  <c r="K33" i="1" a="1"/>
  <c r="K33" i="1" s="1"/>
  <c r="K35" i="1" a="1"/>
  <c r="K35" i="1" s="1"/>
  <c r="M32" i="1" a="1"/>
  <c r="M32" i="1" s="1"/>
  <c r="N27" i="1"/>
  <c r="N33" i="1" l="1" a="1"/>
  <c r="N33" i="1" s="1"/>
  <c r="O31" i="1" a="1"/>
  <c r="O31" i="1" s="1"/>
  <c r="Q34" i="1" a="1"/>
  <c r="Q34" i="1" s="1"/>
  <c r="N31" i="1" a="1"/>
  <c r="N31" i="1" s="1"/>
  <c r="Q35" i="1" a="1"/>
  <c r="Q35" i="1" s="1"/>
  <c r="N34" i="1" a="1"/>
  <c r="N34" i="1" s="1"/>
  <c r="Q32" i="1" a="1"/>
  <c r="Q32" i="1" s="1"/>
  <c r="P35" i="1" a="1"/>
  <c r="P35" i="1" s="1"/>
  <c r="P32" i="1" a="1"/>
  <c r="P32" i="1" s="1"/>
  <c r="O35" i="1" a="1"/>
  <c r="O35" i="1" s="1"/>
  <c r="O32" i="1" a="1"/>
  <c r="O32" i="1" s="1"/>
  <c r="Q29" i="1" a="1"/>
  <c r="Q29" i="1" s="1"/>
  <c r="P33" i="1" a="1"/>
  <c r="P33" i="1" s="1"/>
  <c r="Q30" i="1" a="1"/>
  <c r="Q30" i="1" s="1"/>
  <c r="N29" i="1" a="1"/>
  <c r="N29" i="1" s="1"/>
  <c r="O28" i="1" a="1"/>
  <c r="O28" i="1" s="1"/>
  <c r="N30" i="1" a="1"/>
  <c r="N30" i="1" s="1"/>
  <c r="P31" i="1" a="1"/>
  <c r="P31" i="1" s="1"/>
  <c r="O33" i="1" a="1"/>
  <c r="O33" i="1" s="1"/>
  <c r="P30" i="1" a="1"/>
  <c r="P30" i="1" s="1"/>
  <c r="N28" i="1" a="1"/>
  <c r="N28" i="1" s="1"/>
  <c r="P34" i="1" a="1"/>
  <c r="P34" i="1" s="1"/>
  <c r="O34" i="1" a="1"/>
  <c r="O34" i="1" s="1"/>
  <c r="O30" i="1" a="1"/>
  <c r="O30" i="1" s="1"/>
  <c r="Q31" i="1" a="1"/>
  <c r="Q31" i="1" s="1"/>
  <c r="N35" i="1" a="1"/>
  <c r="N35" i="1" s="1"/>
  <c r="Q28" i="1" a="1"/>
  <c r="Q28" i="1" s="1"/>
  <c r="O29" i="1" a="1"/>
  <c r="O29" i="1" s="1"/>
  <c r="P28" i="1" a="1"/>
  <c r="P28" i="1" s="1"/>
  <c r="N32" i="1" a="1"/>
  <c r="N32" i="1" s="1"/>
  <c r="P29" i="1" a="1"/>
  <c r="P29" i="1" s="1"/>
  <c r="Q33" i="1" a="1"/>
  <c r="Q33" i="1" s="1"/>
  <c r="R27" i="1"/>
  <c r="U35" i="1" l="1" a="1"/>
  <c r="U35" i="1" s="1"/>
  <c r="R34" i="1" a="1"/>
  <c r="R34" i="1" s="1"/>
  <c r="S32" i="1" a="1"/>
  <c r="S32" i="1" s="1"/>
  <c r="U30" i="1" a="1"/>
  <c r="U30" i="1" s="1"/>
  <c r="S29" i="1" a="1"/>
  <c r="S29" i="1" s="1"/>
  <c r="T35" i="1" a="1"/>
  <c r="T35" i="1" s="1"/>
  <c r="U33" i="1" a="1"/>
  <c r="U33" i="1" s="1"/>
  <c r="R32" i="1" a="1"/>
  <c r="R32" i="1" s="1"/>
  <c r="T30" i="1" a="1"/>
  <c r="T30" i="1" s="1"/>
  <c r="R29" i="1" a="1"/>
  <c r="R29" i="1" s="1"/>
  <c r="T33" i="1" a="1"/>
  <c r="T33" i="1" s="1"/>
  <c r="U29" i="1" a="1"/>
  <c r="U29" i="1" s="1"/>
  <c r="U28" i="1" a="1"/>
  <c r="U28" i="1" s="1"/>
  <c r="S33" i="1" a="1"/>
  <c r="S33" i="1" s="1"/>
  <c r="T29" i="1" a="1"/>
  <c r="T29" i="1" s="1"/>
  <c r="T28" i="1" a="1"/>
  <c r="T28" i="1" s="1"/>
  <c r="R33" i="1" a="1"/>
  <c r="R33" i="1" s="1"/>
  <c r="U31" i="1" a="1"/>
  <c r="U31" i="1" s="1"/>
  <c r="S30" i="1" a="1"/>
  <c r="S30" i="1" s="1"/>
  <c r="S28" i="1" a="1"/>
  <c r="S28" i="1" s="1"/>
  <c r="U34" i="1" a="1"/>
  <c r="U34" i="1" s="1"/>
  <c r="T31" i="1" a="1"/>
  <c r="T31" i="1" s="1"/>
  <c r="T32" i="1" a="1"/>
  <c r="T32" i="1" s="1"/>
  <c r="T34" i="1" a="1"/>
  <c r="T34" i="1" s="1"/>
  <c r="S31" i="1" a="1"/>
  <c r="S31" i="1" s="1"/>
  <c r="U32" i="1" a="1"/>
  <c r="U32" i="1" s="1"/>
  <c r="R35" i="1" a="1"/>
  <c r="R35" i="1" s="1"/>
  <c r="R28" i="1" a="1"/>
  <c r="R28" i="1" s="1"/>
  <c r="S34" i="1" a="1"/>
  <c r="S34" i="1" s="1"/>
  <c r="R31" i="1" a="1"/>
  <c r="R31" i="1" s="1"/>
  <c r="S35" i="1" a="1"/>
  <c r="S35" i="1" s="1"/>
  <c r="R30" i="1" a="1"/>
  <c r="R30" i="1" s="1"/>
  <c r="V27" i="1"/>
  <c r="V33" i="1" l="1" a="1"/>
  <c r="V33" i="1" s="1"/>
  <c r="W31" i="1" a="1"/>
  <c r="W31" i="1" s="1"/>
  <c r="Y34" i="1" a="1"/>
  <c r="Y34" i="1" s="1"/>
  <c r="Y32" i="1" a="1"/>
  <c r="Y32" i="1" s="1"/>
  <c r="V31" i="1" a="1"/>
  <c r="V31" i="1" s="1"/>
  <c r="X34" i="1" a="1"/>
  <c r="X34" i="1" s="1"/>
  <c r="Y31" i="1" a="1"/>
  <c r="Y31" i="1" s="1"/>
  <c r="W30" i="1" a="1"/>
  <c r="W30" i="1" s="1"/>
  <c r="W34" i="1" a="1"/>
  <c r="W34" i="1" s="1"/>
  <c r="X31" i="1" a="1"/>
  <c r="X31" i="1" s="1"/>
  <c r="V30" i="1" a="1"/>
  <c r="V30" i="1" s="1"/>
  <c r="Y35" i="1" a="1"/>
  <c r="Y35" i="1" s="1"/>
  <c r="V34" i="1" a="1"/>
  <c r="V34" i="1" s="1"/>
  <c r="V35" i="1" a="1"/>
  <c r="V35" i="1" s="1"/>
  <c r="W28" i="1" a="1"/>
  <c r="W28" i="1" s="1"/>
  <c r="W29" i="1" a="1"/>
  <c r="W29" i="1" s="1"/>
  <c r="V29" i="1" a="1"/>
  <c r="V29" i="1" s="1"/>
  <c r="X35" i="1" a="1"/>
  <c r="X35" i="1" s="1"/>
  <c r="X32" i="1" a="1"/>
  <c r="X32" i="1" s="1"/>
  <c r="Y28" i="1" a="1"/>
  <c r="Y28" i="1" s="1"/>
  <c r="V32" i="1" a="1"/>
  <c r="V32" i="1" s="1"/>
  <c r="V28" i="1" a="1"/>
  <c r="V28" i="1" s="1"/>
  <c r="X33" i="1" a="1"/>
  <c r="X33" i="1" s="1"/>
  <c r="Y30" i="1" a="1"/>
  <c r="Y30" i="1" s="1"/>
  <c r="W35" i="1" a="1"/>
  <c r="W35" i="1" s="1"/>
  <c r="W32" i="1" a="1"/>
  <c r="W32" i="1" s="1"/>
  <c r="Y29" i="1" a="1"/>
  <c r="Y29" i="1" s="1"/>
  <c r="X28" i="1" a="1"/>
  <c r="X28" i="1" s="1"/>
  <c r="X29" i="1" a="1"/>
  <c r="X29" i="1" s="1"/>
  <c r="Y33" i="1" a="1"/>
  <c r="Y33" i="1" s="1"/>
  <c r="X30" i="1" a="1"/>
  <c r="X30" i="1" s="1"/>
  <c r="W33" i="1" a="1"/>
  <c r="W33" i="1" s="1"/>
  <c r="Z27" i="1"/>
  <c r="AC35" i="1" l="1" a="1"/>
  <c r="AC35" i="1" s="1"/>
  <c r="Z32" i="1" a="1"/>
  <c r="Z32" i="1" s="1"/>
  <c r="AA29" i="1" a="1"/>
  <c r="AA29" i="1" s="1"/>
  <c r="AB35" i="1" a="1"/>
  <c r="AB35" i="1" s="1"/>
  <c r="AC33" i="1" a="1"/>
  <c r="AC33" i="1" s="1"/>
  <c r="AB30" i="1" a="1"/>
  <c r="AB30" i="1" s="1"/>
  <c r="Z29" i="1" a="1"/>
  <c r="Z29" i="1" s="1"/>
  <c r="AA35" i="1" a="1"/>
  <c r="AA35" i="1" s="1"/>
  <c r="AB32" i="1" a="1"/>
  <c r="AB32" i="1" s="1"/>
  <c r="AC28" i="1" a="1"/>
  <c r="AC28" i="1" s="1"/>
  <c r="Z35" i="1" a="1"/>
  <c r="Z35" i="1" s="1"/>
  <c r="AA32" i="1" a="1"/>
  <c r="AA32" i="1" s="1"/>
  <c r="AB28" i="1" a="1"/>
  <c r="AB28" i="1" s="1"/>
  <c r="AB33" i="1" a="1"/>
  <c r="AB33" i="1" s="1"/>
  <c r="AC29" i="1" a="1"/>
  <c r="AC29" i="1" s="1"/>
  <c r="AA28" i="1" a="1"/>
  <c r="AA28" i="1" s="1"/>
  <c r="AC32" i="1" a="1"/>
  <c r="AC32" i="1" s="1"/>
  <c r="Z28" i="1" a="1"/>
  <c r="Z28" i="1" s="1"/>
  <c r="Z33" i="1" a="1"/>
  <c r="Z33" i="1" s="1"/>
  <c r="AC34" i="1" a="1"/>
  <c r="AC34" i="1" s="1"/>
  <c r="AB29" i="1" a="1"/>
  <c r="AB29" i="1" s="1"/>
  <c r="AA30" i="1" a="1"/>
  <c r="AA30" i="1" s="1"/>
  <c r="Z30" i="1" a="1"/>
  <c r="Z30" i="1" s="1"/>
  <c r="AA33" i="1" a="1"/>
  <c r="AA33" i="1" s="1"/>
  <c r="AC30" i="1" a="1"/>
  <c r="AC30" i="1" s="1"/>
  <c r="AC31" i="1" a="1"/>
  <c r="AC31" i="1" s="1"/>
  <c r="AB34" i="1" a="1"/>
  <c r="AB34" i="1" s="1"/>
  <c r="AB31" i="1" a="1"/>
  <c r="AB31" i="1" s="1"/>
  <c r="Z34" i="1" a="1"/>
  <c r="Z34" i="1" s="1"/>
  <c r="AA31" i="1" a="1"/>
  <c r="AA31" i="1" s="1"/>
  <c r="Z31" i="1" a="1"/>
  <c r="Z31" i="1" s="1"/>
  <c r="AA34" i="1" a="1"/>
  <c r="AA34" i="1" s="1"/>
  <c r="B37" i="1"/>
  <c r="B45" i="1" l="1" a="1"/>
  <c r="B45" i="1" s="1"/>
  <c r="E43" i="1" a="1"/>
  <c r="E43" i="1" s="1"/>
  <c r="B42" i="1" a="1"/>
  <c r="B42" i="1" s="1"/>
  <c r="E39" i="1" a="1"/>
  <c r="E39" i="1" s="1"/>
  <c r="D43" i="1" a="1"/>
  <c r="D43" i="1" s="1"/>
  <c r="D39" i="1" a="1"/>
  <c r="D39" i="1" s="1"/>
  <c r="D44" i="1" a="1"/>
  <c r="D44" i="1" s="1"/>
  <c r="E40" i="1" a="1"/>
  <c r="E40" i="1" s="1"/>
  <c r="C39" i="1" a="1"/>
  <c r="C39" i="1" s="1"/>
  <c r="E45" i="1" a="1"/>
  <c r="E45" i="1" s="1"/>
  <c r="C44" i="1" a="1"/>
  <c r="C44" i="1" s="1"/>
  <c r="E41" i="1" a="1"/>
  <c r="E41" i="1" s="1"/>
  <c r="D40" i="1" a="1"/>
  <c r="D40" i="1" s="1"/>
  <c r="B39" i="1" a="1"/>
  <c r="B39" i="1" s="1"/>
  <c r="D45" i="1" a="1"/>
  <c r="D45" i="1" s="1"/>
  <c r="B44" i="1" a="1"/>
  <c r="B44" i="1" s="1"/>
  <c r="D41" i="1" a="1"/>
  <c r="D41" i="1" s="1"/>
  <c r="C40" i="1" a="1"/>
  <c r="C40" i="1" s="1"/>
  <c r="B38" i="1" a="1"/>
  <c r="B38" i="1" s="1"/>
  <c r="E42" i="1" a="1"/>
  <c r="E42" i="1" s="1"/>
  <c r="E38" i="1" a="1"/>
  <c r="E38" i="1" s="1"/>
  <c r="C43" i="1" a="1"/>
  <c r="C43" i="1" s="1"/>
  <c r="E44" i="1" a="1"/>
  <c r="E44" i="1" s="1"/>
  <c r="B40" i="1" a="1"/>
  <c r="B40" i="1" s="1"/>
  <c r="C45" i="1" a="1"/>
  <c r="C45" i="1" s="1"/>
  <c r="B43" i="1" a="1"/>
  <c r="B43" i="1" s="1"/>
  <c r="C41" i="1" a="1"/>
  <c r="C41" i="1" s="1"/>
  <c r="D42" i="1" a="1"/>
  <c r="D42" i="1" s="1"/>
  <c r="B41" i="1" a="1"/>
  <c r="B41" i="1" s="1"/>
  <c r="C38" i="1" a="1"/>
  <c r="C38" i="1" s="1"/>
  <c r="C42" i="1" a="1"/>
  <c r="C42" i="1" s="1"/>
  <c r="D38" i="1" a="1"/>
  <c r="D38" i="1" s="1"/>
  <c r="F37" i="1"/>
  <c r="H44" i="1" l="1" a="1"/>
  <c r="H44" i="1" s="1"/>
  <c r="H41" i="1" a="1"/>
  <c r="H41" i="1" s="1"/>
  <c r="G40" i="1" a="1"/>
  <c r="G40" i="1" s="1"/>
  <c r="I38" i="1" a="1"/>
  <c r="I38" i="1" s="1"/>
  <c r="I45" i="1" a="1"/>
  <c r="I45" i="1" s="1"/>
  <c r="G44" i="1" a="1"/>
  <c r="G44" i="1" s="1"/>
  <c r="I42" i="1" a="1"/>
  <c r="I42" i="1" s="1"/>
  <c r="G41" i="1" a="1"/>
  <c r="G41" i="1" s="1"/>
  <c r="F40" i="1" a="1"/>
  <c r="F40" i="1" s="1"/>
  <c r="H38" i="1" a="1"/>
  <c r="H38" i="1" s="1"/>
  <c r="F45" i="1" a="1"/>
  <c r="F45" i="1" s="1"/>
  <c r="H42" i="1" a="1"/>
  <c r="H42" i="1" s="1"/>
  <c r="F41" i="1" a="1"/>
  <c r="F41" i="1" s="1"/>
  <c r="G42" i="1" a="1"/>
  <c r="G42" i="1" s="1"/>
  <c r="I43" i="1" a="1"/>
  <c r="I43" i="1" s="1"/>
  <c r="F42" i="1" a="1"/>
  <c r="F42" i="1" s="1"/>
  <c r="G38" i="1" a="1"/>
  <c r="G38" i="1" s="1"/>
  <c r="F43" i="1" a="1"/>
  <c r="F43" i="1" s="1"/>
  <c r="G39" i="1" a="1"/>
  <c r="G39" i="1" s="1"/>
  <c r="I41" i="1" a="1"/>
  <c r="I41" i="1" s="1"/>
  <c r="G45" i="1" a="1"/>
  <c r="G45" i="1" s="1"/>
  <c r="I44" i="1" a="1"/>
  <c r="I44" i="1" s="1"/>
  <c r="I40" i="1" a="1"/>
  <c r="I40" i="1" s="1"/>
  <c r="F39" i="1" a="1"/>
  <c r="F39" i="1" s="1"/>
  <c r="F38" i="1" a="1"/>
  <c r="F38" i="1" s="1"/>
  <c r="F44" i="1" a="1"/>
  <c r="F44" i="1" s="1"/>
  <c r="H40" i="1" a="1"/>
  <c r="H40" i="1" s="1"/>
  <c r="H45" i="1" a="1"/>
  <c r="H45" i="1" s="1"/>
  <c r="G43" i="1" a="1"/>
  <c r="G43" i="1" s="1"/>
  <c r="H39" i="1" a="1"/>
  <c r="H39" i="1" s="1"/>
  <c r="H43" i="1" a="1"/>
  <c r="H43" i="1" s="1"/>
  <c r="I39" i="1" a="1"/>
  <c r="I39" i="1" s="1"/>
  <c r="J37" i="1"/>
  <c r="J45" i="1" l="1" a="1"/>
  <c r="J45" i="1" s="1"/>
  <c r="M43" i="1" a="1"/>
  <c r="M43" i="1" s="1"/>
  <c r="J42" i="1" a="1"/>
  <c r="J42" i="1" s="1"/>
  <c r="L39" i="1" a="1"/>
  <c r="L39" i="1" s="1"/>
  <c r="L43" i="1" a="1"/>
  <c r="L43" i="1" s="1"/>
  <c r="K39" i="1" a="1"/>
  <c r="K39" i="1" s="1"/>
  <c r="K43" i="1" a="1"/>
  <c r="K43" i="1" s="1"/>
  <c r="K38" i="1" a="1"/>
  <c r="K38" i="1" s="1"/>
  <c r="M44" i="1" a="1"/>
  <c r="M44" i="1" s="1"/>
  <c r="J43" i="1" a="1"/>
  <c r="J43" i="1" s="1"/>
  <c r="M39" i="1" a="1"/>
  <c r="M39" i="1" s="1"/>
  <c r="J38" i="1" a="1"/>
  <c r="J38" i="1" s="1"/>
  <c r="L44" i="1" a="1"/>
  <c r="L44" i="1" s="1"/>
  <c r="M40" i="1" a="1"/>
  <c r="M40" i="1" s="1"/>
  <c r="J39" i="1" a="1"/>
  <c r="J39" i="1" s="1"/>
  <c r="M45" i="1" a="1"/>
  <c r="M45" i="1" s="1"/>
  <c r="J44" i="1" a="1"/>
  <c r="J44" i="1" s="1"/>
  <c r="L41" i="1" a="1"/>
  <c r="L41" i="1" s="1"/>
  <c r="J40" i="1" a="1"/>
  <c r="J40" i="1" s="1"/>
  <c r="K42" i="1" a="1"/>
  <c r="K42" i="1" s="1"/>
  <c r="L45" i="1" a="1"/>
  <c r="L45" i="1" s="1"/>
  <c r="K41" i="1" a="1"/>
  <c r="K41" i="1" s="1"/>
  <c r="L38" i="1" a="1"/>
  <c r="L38" i="1" s="1"/>
  <c r="K45" i="1" a="1"/>
  <c r="K45" i="1" s="1"/>
  <c r="M42" i="1" a="1"/>
  <c r="M42" i="1" s="1"/>
  <c r="J41" i="1" a="1"/>
  <c r="J41" i="1" s="1"/>
  <c r="M38" i="1" a="1"/>
  <c r="M38" i="1" s="1"/>
  <c r="L42" i="1" a="1"/>
  <c r="L42" i="1" s="1"/>
  <c r="K44" i="1" a="1"/>
  <c r="K44" i="1" s="1"/>
  <c r="L40" i="1" a="1"/>
  <c r="L40" i="1" s="1"/>
  <c r="K40" i="1" a="1"/>
  <c r="K40" i="1" s="1"/>
  <c r="M41" i="1" a="1"/>
  <c r="M41" i="1" s="1"/>
  <c r="N37" i="1"/>
  <c r="O44" i="1" l="1" a="1"/>
  <c r="O44" i="1" s="1"/>
  <c r="P41" i="1" a="1"/>
  <c r="P41" i="1" s="1"/>
  <c r="O40" i="1" a="1"/>
  <c r="O40" i="1" s="1"/>
  <c r="Q38" i="1" a="1"/>
  <c r="Q38" i="1" s="1"/>
  <c r="Q45" i="1" a="1"/>
  <c r="Q45" i="1" s="1"/>
  <c r="Q42" i="1" a="1"/>
  <c r="Q42" i="1" s="1"/>
  <c r="O41" i="1" a="1"/>
  <c r="O41" i="1" s="1"/>
  <c r="N40" i="1" a="1"/>
  <c r="N40" i="1" s="1"/>
  <c r="P38" i="1" a="1"/>
  <c r="P38" i="1" s="1"/>
  <c r="P45" i="1" a="1"/>
  <c r="P45" i="1" s="1"/>
  <c r="N44" i="1" a="1"/>
  <c r="N44" i="1" s="1"/>
  <c r="Q40" i="1" a="1"/>
  <c r="Q40" i="1" s="1"/>
  <c r="N39" i="1" a="1"/>
  <c r="N39" i="1" s="1"/>
  <c r="O45" i="1" a="1"/>
  <c r="O45" i="1" s="1"/>
  <c r="Q41" i="1" a="1"/>
  <c r="Q41" i="1" s="1"/>
  <c r="P40" i="1" a="1"/>
  <c r="P40" i="1" s="1"/>
  <c r="N45" i="1" a="1"/>
  <c r="N45" i="1" s="1"/>
  <c r="P42" i="1" a="1"/>
  <c r="P42" i="1" s="1"/>
  <c r="N41" i="1" a="1"/>
  <c r="N41" i="1" s="1"/>
  <c r="O42" i="1" a="1"/>
  <c r="O42" i="1" s="1"/>
  <c r="O38" i="1" a="1"/>
  <c r="O38" i="1" s="1"/>
  <c r="O39" i="1" a="1"/>
  <c r="O39" i="1" s="1"/>
  <c r="N42" i="1" a="1"/>
  <c r="N42" i="1" s="1"/>
  <c r="Q39" i="1" a="1"/>
  <c r="Q39" i="1" s="1"/>
  <c r="N38" i="1" a="1"/>
  <c r="N38" i="1" s="1"/>
  <c r="O43" i="1" a="1"/>
  <c r="O43" i="1" s="1"/>
  <c r="Q43" i="1" a="1"/>
  <c r="Q43" i="1" s="1"/>
  <c r="P39" i="1" a="1"/>
  <c r="P39" i="1" s="1"/>
  <c r="P43" i="1" a="1"/>
  <c r="P43" i="1" s="1"/>
  <c r="Q44" i="1" a="1"/>
  <c r="Q44" i="1" s="1"/>
  <c r="N43" i="1" a="1"/>
  <c r="N43" i="1" s="1"/>
  <c r="P44" i="1" a="1"/>
  <c r="P44" i="1" s="1"/>
  <c r="R37" i="1"/>
  <c r="R45" i="1" l="1" a="1"/>
  <c r="R45" i="1" s="1"/>
  <c r="U43" i="1" a="1"/>
  <c r="U43" i="1" s="1"/>
  <c r="S39" i="1" a="1"/>
  <c r="S39" i="1" s="1"/>
  <c r="T43" i="1" a="1"/>
  <c r="T43" i="1" s="1"/>
  <c r="R39" i="1" a="1"/>
  <c r="R39" i="1" s="1"/>
  <c r="S42" i="1" a="1"/>
  <c r="S42" i="1" s="1"/>
  <c r="R41" i="1" a="1"/>
  <c r="R41" i="1" s="1"/>
  <c r="U38" i="1" a="1"/>
  <c r="U38" i="1" s="1"/>
  <c r="R42" i="1" a="1"/>
  <c r="R42" i="1" s="1"/>
  <c r="T38" i="1" a="1"/>
  <c r="T38" i="1" s="1"/>
  <c r="U44" i="1" a="1"/>
  <c r="U44" i="1" s="1"/>
  <c r="S43" i="1" a="1"/>
  <c r="S43" i="1" s="1"/>
  <c r="U39" i="1" a="1"/>
  <c r="U39" i="1" s="1"/>
  <c r="S38" i="1" a="1"/>
  <c r="S38" i="1" s="1"/>
  <c r="T39" i="1" a="1"/>
  <c r="T39" i="1" s="1"/>
  <c r="S44" i="1" a="1"/>
  <c r="S44" i="1" s="1"/>
  <c r="S40" i="1" a="1"/>
  <c r="S40" i="1" s="1"/>
  <c r="U45" i="1" a="1"/>
  <c r="U45" i="1" s="1"/>
  <c r="R40" i="1" a="1"/>
  <c r="R40" i="1" s="1"/>
  <c r="R43" i="1" a="1"/>
  <c r="R43" i="1" s="1"/>
  <c r="U41" i="1" a="1"/>
  <c r="U41" i="1" s="1"/>
  <c r="T41" i="1" a="1"/>
  <c r="T41" i="1" s="1"/>
  <c r="T44" i="1" a="1"/>
  <c r="T44" i="1" s="1"/>
  <c r="U40" i="1" a="1"/>
  <c r="U40" i="1" s="1"/>
  <c r="T40" i="1" a="1"/>
  <c r="T40" i="1" s="1"/>
  <c r="R44" i="1" a="1"/>
  <c r="R44" i="1" s="1"/>
  <c r="S41" i="1" a="1"/>
  <c r="S41" i="1" s="1"/>
  <c r="T45" i="1" a="1"/>
  <c r="T45" i="1" s="1"/>
  <c r="R38" i="1" a="1"/>
  <c r="R38" i="1" s="1"/>
  <c r="U42" i="1" a="1"/>
  <c r="U42" i="1" s="1"/>
  <c r="T42" i="1" a="1"/>
  <c r="T42" i="1" s="1"/>
  <c r="S45" i="1" a="1"/>
  <c r="S45" i="1" s="1"/>
  <c r="V37" i="1"/>
  <c r="Y45" i="1" l="1" a="1"/>
  <c r="Y45" i="1" s="1"/>
  <c r="W44" i="1" a="1"/>
  <c r="W44" i="1" s="1"/>
  <c r="Y42" i="1" a="1"/>
  <c r="Y42" i="1" s="1"/>
  <c r="W41" i="1" a="1"/>
  <c r="W41" i="1" s="1"/>
  <c r="Y38" i="1" a="1"/>
  <c r="Y38" i="1" s="1"/>
  <c r="X45" i="1" a="1"/>
  <c r="X45" i="1" s="1"/>
  <c r="V44" i="1" a="1"/>
  <c r="V44" i="1" s="1"/>
  <c r="X42" i="1" a="1"/>
  <c r="X42" i="1" s="1"/>
  <c r="V41" i="1" a="1"/>
  <c r="V41" i="1" s="1"/>
  <c r="V40" i="1" a="1"/>
  <c r="V40" i="1" s="1"/>
  <c r="X38" i="1" a="1"/>
  <c r="X38" i="1" s="1"/>
  <c r="Y44" i="1" a="1"/>
  <c r="Y44" i="1" s="1"/>
  <c r="V43" i="1" a="1"/>
  <c r="V43" i="1" s="1"/>
  <c r="Y40" i="1" a="1"/>
  <c r="Y40" i="1" s="1"/>
  <c r="W39" i="1" a="1"/>
  <c r="W39" i="1" s="1"/>
  <c r="X44" i="1" a="1"/>
  <c r="X44" i="1" s="1"/>
  <c r="X40" i="1" a="1"/>
  <c r="X40" i="1" s="1"/>
  <c r="V39" i="1" a="1"/>
  <c r="V39" i="1" s="1"/>
  <c r="W45" i="1" a="1"/>
  <c r="W45" i="1" s="1"/>
  <c r="Y41" i="1" a="1"/>
  <c r="Y41" i="1" s="1"/>
  <c r="W43" i="1" a="1"/>
  <c r="W43" i="1" s="1"/>
  <c r="W40" i="1" a="1"/>
  <c r="W40" i="1" s="1"/>
  <c r="V42" i="1" a="1"/>
  <c r="V42" i="1" s="1"/>
  <c r="X41" i="1" a="1"/>
  <c r="X41" i="1" s="1"/>
  <c r="V45" i="1" a="1"/>
  <c r="V45" i="1" s="1"/>
  <c r="W42" i="1" a="1"/>
  <c r="W42" i="1" s="1"/>
  <c r="W38" i="1" a="1"/>
  <c r="W38" i="1" s="1"/>
  <c r="Y39" i="1" a="1"/>
  <c r="Y39" i="1" s="1"/>
  <c r="X39" i="1" a="1"/>
  <c r="X39" i="1" s="1"/>
  <c r="X43" i="1" a="1"/>
  <c r="X43" i="1" s="1"/>
  <c r="Y43" i="1" a="1"/>
  <c r="Y43" i="1" s="1"/>
  <c r="V38" i="1" a="1"/>
  <c r="V38" i="1" s="1"/>
  <c r="Z37" i="1"/>
  <c r="AB43" i="1" l="1" a="1"/>
  <c r="AB43" i="1" s="1"/>
  <c r="AC40" i="1" a="1"/>
  <c r="AC40" i="1" s="1"/>
  <c r="AA39" i="1" a="1"/>
  <c r="AA39" i="1" s="1"/>
  <c r="AC44" i="1" a="1"/>
  <c r="AC44" i="1" s="1"/>
  <c r="AA43" i="1" a="1"/>
  <c r="AA43" i="1" s="1"/>
  <c r="AC41" i="1" a="1"/>
  <c r="AC41" i="1" s="1"/>
  <c r="AB40" i="1" a="1"/>
  <c r="AB40" i="1" s="1"/>
  <c r="Z39" i="1" a="1"/>
  <c r="Z39" i="1" s="1"/>
  <c r="AA45" i="1" a="1"/>
  <c r="AA45" i="1" s="1"/>
  <c r="AC42" i="1" a="1"/>
  <c r="AC42" i="1" s="1"/>
  <c r="Z41" i="1" a="1"/>
  <c r="Z41" i="1" s="1"/>
  <c r="Z45" i="1" a="1"/>
  <c r="Z45" i="1" s="1"/>
  <c r="AB42" i="1" a="1"/>
  <c r="AB42" i="1" s="1"/>
  <c r="AA42" i="1" a="1"/>
  <c r="AA42" i="1" s="1"/>
  <c r="AC38" i="1" a="1"/>
  <c r="AC38" i="1" s="1"/>
  <c r="AA44" i="1" a="1"/>
  <c r="AA44" i="1" s="1"/>
  <c r="AB41" i="1" a="1"/>
  <c r="AB41" i="1" s="1"/>
  <c r="Z40" i="1" a="1"/>
  <c r="Z40" i="1" s="1"/>
  <c r="Z42" i="1" a="1"/>
  <c r="Z42" i="1" s="1"/>
  <c r="AC43" i="1" a="1"/>
  <c r="AC43" i="1" s="1"/>
  <c r="Z38" i="1" a="1"/>
  <c r="Z38" i="1" s="1"/>
  <c r="Z43" i="1" a="1"/>
  <c r="Z43" i="1" s="1"/>
  <c r="AC45" i="1" a="1"/>
  <c r="AC45" i="1" s="1"/>
  <c r="Z44" i="1" a="1"/>
  <c r="Z44" i="1" s="1"/>
  <c r="AA41" i="1" a="1"/>
  <c r="AA41" i="1" s="1"/>
  <c r="AB39" i="1" a="1"/>
  <c r="AB39" i="1" s="1"/>
  <c r="AB45" i="1" a="1"/>
  <c r="AB45" i="1" s="1"/>
  <c r="AB38" i="1" a="1"/>
  <c r="AB38" i="1" s="1"/>
  <c r="AA38" i="1" a="1"/>
  <c r="AA38" i="1" s="1"/>
  <c r="AC39" i="1" a="1"/>
  <c r="AC39" i="1" s="1"/>
  <c r="AA40" i="1" a="1"/>
  <c r="AA40" i="1" s="1"/>
  <c r="AB44" i="1" a="1"/>
  <c r="AB44" i="1" s="1"/>
  <c r="B47" i="1"/>
  <c r="E55" i="1" l="1" a="1"/>
  <c r="E55" i="1" s="1"/>
  <c r="D54" i="1" a="1"/>
  <c r="D54" i="1" s="1"/>
  <c r="C53" i="1" a="1"/>
  <c r="C53" i="1" s="1"/>
  <c r="C51" i="1" a="1"/>
  <c r="C51" i="1" s="1"/>
  <c r="E48" i="1" a="1"/>
  <c r="E48" i="1" s="1"/>
  <c r="D55" i="1" a="1"/>
  <c r="D55" i="1" s="1"/>
  <c r="C54" i="1" a="1"/>
  <c r="C54" i="1" s="1"/>
  <c r="B53" i="1" a="1"/>
  <c r="B53" i="1" s="1"/>
  <c r="B51" i="1" a="1"/>
  <c r="B51" i="1" s="1"/>
  <c r="D48" i="1" a="1"/>
  <c r="D48" i="1" s="1"/>
  <c r="E53" i="1" a="1"/>
  <c r="E53" i="1" s="1"/>
  <c r="C52" i="1" a="1"/>
  <c r="C52" i="1" s="1"/>
  <c r="E51" i="1" a="1"/>
  <c r="E51" i="1" s="1"/>
  <c r="C50" i="1" a="1"/>
  <c r="C50" i="1" s="1"/>
  <c r="C49" i="1" a="1"/>
  <c r="C49" i="1" s="1"/>
  <c r="E54" i="1" a="1"/>
  <c r="E54" i="1" s="1"/>
  <c r="D53" i="1" a="1"/>
  <c r="D53" i="1" s="1"/>
  <c r="B52" i="1" a="1"/>
  <c r="B52" i="1" s="1"/>
  <c r="D51" i="1" a="1"/>
  <c r="D51" i="1" s="1"/>
  <c r="B50" i="1" a="1"/>
  <c r="B50" i="1" s="1"/>
  <c r="B49" i="1" a="1"/>
  <c r="B49" i="1" s="1"/>
  <c r="C55" i="1" a="1"/>
  <c r="C55" i="1" s="1"/>
  <c r="B54" i="1" a="1"/>
  <c r="B54" i="1" s="1"/>
  <c r="B48" i="1" a="1"/>
  <c r="B48" i="1" s="1"/>
  <c r="E50" i="1" a="1"/>
  <c r="E50" i="1" s="1"/>
  <c r="E52" i="1" a="1"/>
  <c r="E52" i="1" s="1"/>
  <c r="B55" i="1" a="1"/>
  <c r="B55" i="1" s="1"/>
  <c r="E49" i="1" a="1"/>
  <c r="E49" i="1" s="1"/>
  <c r="D49" i="1" a="1"/>
  <c r="D49" i="1" s="1"/>
  <c r="D50" i="1" a="1"/>
  <c r="D50" i="1" s="1"/>
  <c r="C48" i="1" a="1"/>
  <c r="C48" i="1" s="1"/>
  <c r="D52" i="1" a="1"/>
  <c r="D52" i="1" s="1"/>
  <c r="F47" i="1"/>
  <c r="H52" i="1" l="1" a="1"/>
  <c r="H52" i="1" s="1"/>
  <c r="I50" i="1" a="1"/>
  <c r="I50" i="1" s="1"/>
  <c r="I49" i="1" a="1"/>
  <c r="I49" i="1" s="1"/>
  <c r="I53" i="1" a="1"/>
  <c r="I53" i="1" s="1"/>
  <c r="I51" i="1" a="1"/>
  <c r="I51" i="1" s="1"/>
  <c r="H50" i="1" a="1"/>
  <c r="H50" i="1" s="1"/>
  <c r="H49" i="1" a="1"/>
  <c r="H49" i="1" s="1"/>
  <c r="G55" i="1" a="1"/>
  <c r="G55" i="1" s="1"/>
  <c r="F54" i="1" a="1"/>
  <c r="F54" i="1" s="1"/>
  <c r="I48" i="1" a="1"/>
  <c r="I48" i="1" s="1"/>
  <c r="F55" i="1" a="1"/>
  <c r="F55" i="1" s="1"/>
  <c r="H48" i="1" a="1"/>
  <c r="H48" i="1" s="1"/>
  <c r="G48" i="1" a="1"/>
  <c r="G48" i="1" s="1"/>
  <c r="I55" i="1" a="1"/>
  <c r="I55" i="1" s="1"/>
  <c r="G49" i="1" a="1"/>
  <c r="G49" i="1" s="1"/>
  <c r="F51" i="1" a="1"/>
  <c r="F51" i="1" s="1"/>
  <c r="H55" i="1" a="1"/>
  <c r="H55" i="1" s="1"/>
  <c r="G50" i="1" a="1"/>
  <c r="G50" i="1" s="1"/>
  <c r="F49" i="1" a="1"/>
  <c r="F49" i="1" s="1"/>
  <c r="I54" i="1" a="1"/>
  <c r="I54" i="1" s="1"/>
  <c r="I52" i="1" a="1"/>
  <c r="I52" i="1" s="1"/>
  <c r="H51" i="1" a="1"/>
  <c r="H51" i="1" s="1"/>
  <c r="F50" i="1" a="1"/>
  <c r="F50" i="1" s="1"/>
  <c r="G52" i="1" a="1"/>
  <c r="G52" i="1" s="1"/>
  <c r="H53" i="1" a="1"/>
  <c r="H53" i="1" s="1"/>
  <c r="F52" i="1" a="1"/>
  <c r="F52" i="1" s="1"/>
  <c r="G51" i="1" a="1"/>
  <c r="G51" i="1" s="1"/>
  <c r="G53" i="1" a="1"/>
  <c r="G53" i="1" s="1"/>
  <c r="H54" i="1" a="1"/>
  <c r="H54" i="1" s="1"/>
  <c r="F53" i="1" a="1"/>
  <c r="F53" i="1" s="1"/>
  <c r="G54" i="1" a="1"/>
  <c r="G54" i="1" s="1"/>
  <c r="F48" i="1" a="1"/>
  <c r="F48" i="1" s="1"/>
  <c r="J47" i="1"/>
  <c r="M55" i="1" l="1" a="1"/>
  <c r="M55" i="1" s="1"/>
  <c r="J53" i="1" a="1"/>
  <c r="J53" i="1" s="1"/>
  <c r="J51" i="1" a="1"/>
  <c r="J51" i="1" s="1"/>
  <c r="M48" i="1" a="1"/>
  <c r="M48" i="1" s="1"/>
  <c r="L55" i="1" a="1"/>
  <c r="L55" i="1" s="1"/>
  <c r="J54" i="1" a="1"/>
  <c r="J54" i="1" s="1"/>
  <c r="L48" i="1" a="1"/>
  <c r="L48" i="1" s="1"/>
  <c r="K52" i="1" a="1"/>
  <c r="K52" i="1" s="1"/>
  <c r="M51" i="1" a="1"/>
  <c r="M51" i="1" s="1"/>
  <c r="L50" i="1" a="1"/>
  <c r="L50" i="1" s="1"/>
  <c r="L49" i="1" a="1"/>
  <c r="L49" i="1" s="1"/>
  <c r="M54" i="1" a="1"/>
  <c r="M54" i="1" s="1"/>
  <c r="M53" i="1" a="1"/>
  <c r="M53" i="1" s="1"/>
  <c r="L51" i="1" a="1"/>
  <c r="L51" i="1" s="1"/>
  <c r="K49" i="1" a="1"/>
  <c r="K49" i="1" s="1"/>
  <c r="L54" i="1" a="1"/>
  <c r="L54" i="1" s="1"/>
  <c r="L53" i="1" a="1"/>
  <c r="L53" i="1" s="1"/>
  <c r="J52" i="1" a="1"/>
  <c r="J52" i="1" s="1"/>
  <c r="K50" i="1" a="1"/>
  <c r="K50" i="1" s="1"/>
  <c r="M52" i="1" a="1"/>
  <c r="M52" i="1" s="1"/>
  <c r="J50" i="1" a="1"/>
  <c r="J50" i="1" s="1"/>
  <c r="K48" i="1" a="1"/>
  <c r="K48" i="1" s="1"/>
  <c r="L52" i="1" a="1"/>
  <c r="L52" i="1" s="1"/>
  <c r="K51" i="1" a="1"/>
  <c r="K51" i="1" s="1"/>
  <c r="K54" i="1" a="1"/>
  <c r="K54" i="1" s="1"/>
  <c r="K53" i="1" a="1"/>
  <c r="K53" i="1" s="1"/>
  <c r="J48" i="1" a="1"/>
  <c r="J48" i="1" s="1"/>
  <c r="K55" i="1" a="1"/>
  <c r="K55" i="1" s="1"/>
  <c r="J55" i="1" a="1"/>
  <c r="J55" i="1" s="1"/>
  <c r="M50" i="1" a="1"/>
  <c r="M50" i="1" s="1"/>
  <c r="M49" i="1" a="1"/>
  <c r="M49" i="1" s="1"/>
  <c r="J49" i="1" a="1"/>
  <c r="J49" i="1" s="1"/>
  <c r="N47" i="1"/>
  <c r="Q53" i="1" l="1" a="1"/>
  <c r="Q53" i="1" s="1"/>
  <c r="O52" i="1" a="1"/>
  <c r="O52" i="1" s="1"/>
  <c r="Q51" i="1" a="1"/>
  <c r="Q51" i="1" s="1"/>
  <c r="P50" i="1" a="1"/>
  <c r="P50" i="1" s="1"/>
  <c r="P49" i="1" a="1"/>
  <c r="P49" i="1" s="1"/>
  <c r="Q54" i="1" a="1"/>
  <c r="Q54" i="1" s="1"/>
  <c r="P53" i="1" a="1"/>
  <c r="P53" i="1" s="1"/>
  <c r="N52" i="1" a="1"/>
  <c r="N52" i="1" s="1"/>
  <c r="P51" i="1" a="1"/>
  <c r="P51" i="1" s="1"/>
  <c r="O50" i="1" a="1"/>
  <c r="O50" i="1" s="1"/>
  <c r="O49" i="1" a="1"/>
  <c r="O49" i="1" s="1"/>
  <c r="Q55" i="1" a="1"/>
  <c r="Q55" i="1" s="1"/>
  <c r="N54" i="1" a="1"/>
  <c r="N54" i="1" s="1"/>
  <c r="P55" i="1" a="1"/>
  <c r="P55" i="1" s="1"/>
  <c r="O55" i="1" a="1"/>
  <c r="O55" i="1" s="1"/>
  <c r="Q48" i="1" a="1"/>
  <c r="Q48" i="1" s="1"/>
  <c r="N51" i="1" a="1"/>
  <c r="N51" i="1" s="1"/>
  <c r="N48" i="1" a="1"/>
  <c r="N48" i="1" s="1"/>
  <c r="Q49" i="1" a="1"/>
  <c r="Q49" i="1" s="1"/>
  <c r="N55" i="1" a="1"/>
  <c r="N55" i="1" s="1"/>
  <c r="N49" i="1" a="1"/>
  <c r="N49" i="1" s="1"/>
  <c r="O53" i="1" a="1"/>
  <c r="O53" i="1" s="1"/>
  <c r="P48" i="1" a="1"/>
  <c r="P48" i="1" s="1"/>
  <c r="Q50" i="1" a="1"/>
  <c r="Q50" i="1" s="1"/>
  <c r="P54" i="1" a="1"/>
  <c r="P54" i="1" s="1"/>
  <c r="N53" i="1" a="1"/>
  <c r="N53" i="1" s="1"/>
  <c r="O48" i="1" a="1"/>
  <c r="O48" i="1" s="1"/>
  <c r="O54" i="1" a="1"/>
  <c r="O54" i="1" s="1"/>
  <c r="O51" i="1" a="1"/>
  <c r="O51" i="1" s="1"/>
  <c r="Q52" i="1" a="1"/>
  <c r="Q52" i="1" s="1"/>
  <c r="N50" i="1" a="1"/>
  <c r="N50" i="1" s="1"/>
  <c r="P52" i="1" a="1"/>
  <c r="P52" i="1" s="1"/>
  <c r="R47" i="1"/>
  <c r="U55" i="1" l="1" a="1"/>
  <c r="U55" i="1" s="1"/>
  <c r="R54" i="1" a="1"/>
  <c r="R54" i="1" s="1"/>
  <c r="U48" i="1" a="1"/>
  <c r="U48" i="1" s="1"/>
  <c r="T55" i="1" a="1"/>
  <c r="T55" i="1" s="1"/>
  <c r="T48" i="1" a="1"/>
  <c r="T48" i="1" s="1"/>
  <c r="U52" i="1" a="1"/>
  <c r="U52" i="1" s="1"/>
  <c r="U50" i="1" a="1"/>
  <c r="U50" i="1" s="1"/>
  <c r="U49" i="1" a="1"/>
  <c r="U49" i="1" s="1"/>
  <c r="S48" i="1" a="1"/>
  <c r="S48" i="1" s="1"/>
  <c r="U53" i="1" a="1"/>
  <c r="U53" i="1" s="1"/>
  <c r="T52" i="1" a="1"/>
  <c r="T52" i="1" s="1"/>
  <c r="U51" i="1" a="1"/>
  <c r="U51" i="1" s="1"/>
  <c r="T50" i="1" a="1"/>
  <c r="T50" i="1" s="1"/>
  <c r="T49" i="1" a="1"/>
  <c r="T49" i="1" s="1"/>
  <c r="R48" i="1" a="1"/>
  <c r="R48" i="1" s="1"/>
  <c r="T53" i="1" a="1"/>
  <c r="T53" i="1" s="1"/>
  <c r="S52" i="1" a="1"/>
  <c r="S52" i="1" s="1"/>
  <c r="T51" i="1" a="1"/>
  <c r="T51" i="1" s="1"/>
  <c r="S50" i="1" a="1"/>
  <c r="S50" i="1" s="1"/>
  <c r="S49" i="1" a="1"/>
  <c r="S49" i="1" s="1"/>
  <c r="T54" i="1" a="1"/>
  <c r="T54" i="1" s="1"/>
  <c r="R53" i="1" a="1"/>
  <c r="R53" i="1" s="1"/>
  <c r="S55" i="1" a="1"/>
  <c r="S55" i="1" s="1"/>
  <c r="S51" i="1" a="1"/>
  <c r="S51" i="1" s="1"/>
  <c r="R52" i="1" a="1"/>
  <c r="R52" i="1" s="1"/>
  <c r="S54" i="1" a="1"/>
  <c r="S54" i="1" s="1"/>
  <c r="R49" i="1" a="1"/>
  <c r="R49" i="1" s="1"/>
  <c r="R50" i="1" a="1"/>
  <c r="R50" i="1" s="1"/>
  <c r="R55" i="1" a="1"/>
  <c r="R55" i="1" s="1"/>
  <c r="R51" i="1" a="1"/>
  <c r="R51" i="1" s="1"/>
  <c r="U54" i="1" a="1"/>
  <c r="U54" i="1" s="1"/>
  <c r="S53" i="1" a="1"/>
  <c r="S53" i="1" s="1"/>
  <c r="V47" i="1"/>
  <c r="X53" i="1" l="1" a="1"/>
  <c r="X53" i="1" s="1"/>
  <c r="W52" i="1" a="1"/>
  <c r="W52" i="1" s="1"/>
  <c r="W50" i="1" a="1"/>
  <c r="W50" i="1" s="1"/>
  <c r="V49" i="1" a="1"/>
  <c r="V49" i="1" s="1"/>
  <c r="Y54" i="1" a="1"/>
  <c r="Y54" i="1" s="1"/>
  <c r="W53" i="1" a="1"/>
  <c r="W53" i="1" s="1"/>
  <c r="V52" i="1" a="1"/>
  <c r="V52" i="1" s="1"/>
  <c r="V51" i="1" a="1"/>
  <c r="V51" i="1" s="1"/>
  <c r="V50" i="1" a="1"/>
  <c r="V50" i="1" s="1"/>
  <c r="X54" i="1" a="1"/>
  <c r="X54" i="1" s="1"/>
  <c r="V53" i="1" a="1"/>
  <c r="V53" i="1" s="1"/>
  <c r="W54" i="1" a="1"/>
  <c r="W54" i="1" s="1"/>
  <c r="Y55" i="1" a="1"/>
  <c r="Y55" i="1" s="1"/>
  <c r="V54" i="1" a="1"/>
  <c r="V54" i="1" s="1"/>
  <c r="X55" i="1" a="1"/>
  <c r="X55" i="1" s="1"/>
  <c r="X49" i="1" a="1"/>
  <c r="X49" i="1" s="1"/>
  <c r="V48" i="1" a="1"/>
  <c r="V48" i="1" s="1"/>
  <c r="Y52" i="1" a="1"/>
  <c r="Y52" i="1" s="1"/>
  <c r="W51" i="1" a="1"/>
  <c r="W51" i="1" s="1"/>
  <c r="X52" i="1" a="1"/>
  <c r="X52" i="1" s="1"/>
  <c r="W55" i="1" a="1"/>
  <c r="W55" i="1" s="1"/>
  <c r="Y51" i="1" a="1"/>
  <c r="Y51" i="1" s="1"/>
  <c r="Y50" i="1" a="1"/>
  <c r="Y50" i="1" s="1"/>
  <c r="W49" i="1" a="1"/>
  <c r="W49" i="1" s="1"/>
  <c r="Y53" i="1" a="1"/>
  <c r="Y53" i="1" s="1"/>
  <c r="Y48" i="1" a="1"/>
  <c r="Y48" i="1" s="1"/>
  <c r="V55" i="1" a="1"/>
  <c r="V55" i="1" s="1"/>
  <c r="X51" i="1" a="1"/>
  <c r="X51" i="1" s="1"/>
  <c r="X50" i="1" a="1"/>
  <c r="X50" i="1" s="1"/>
  <c r="X48" i="1" a="1"/>
  <c r="X48" i="1" s="1"/>
  <c r="W48" i="1" a="1"/>
  <c r="W48" i="1" s="1"/>
  <c r="Y49" i="1" a="1"/>
  <c r="Y49" i="1" s="1"/>
  <c r="Z47" i="1"/>
  <c r="AC55" i="1" l="1" a="1"/>
  <c r="AC55" i="1" s="1"/>
  <c r="AC51" i="1" a="1"/>
  <c r="AC51" i="1" s="1"/>
  <c r="AC48" i="1" a="1"/>
  <c r="AC48" i="1" s="1"/>
  <c r="AB55" i="1" a="1"/>
  <c r="AB55" i="1" s="1"/>
  <c r="AB51" i="1" a="1"/>
  <c r="AB51" i="1" s="1"/>
  <c r="AC49" i="1" a="1"/>
  <c r="AC49" i="1" s="1"/>
  <c r="AB48" i="1" a="1"/>
  <c r="AB48" i="1" s="1"/>
  <c r="AA55" i="1" a="1"/>
  <c r="AA55" i="1" s="1"/>
  <c r="Z55" i="1" a="1"/>
  <c r="Z55" i="1" s="1"/>
  <c r="AC52" i="1" a="1"/>
  <c r="AC52" i="1" s="1"/>
  <c r="AA51" i="1" a="1"/>
  <c r="AA51" i="1" s="1"/>
  <c r="AC50" i="1" a="1"/>
  <c r="AC50" i="1" s="1"/>
  <c r="AB49" i="1" a="1"/>
  <c r="AB49" i="1" s="1"/>
  <c r="AA48" i="1" a="1"/>
  <c r="AA48" i="1" s="1"/>
  <c r="AB52" i="1" a="1"/>
  <c r="AB52" i="1" s="1"/>
  <c r="Z51" i="1" a="1"/>
  <c r="Z51" i="1" s="1"/>
  <c r="Z50" i="1" a="1"/>
  <c r="Z50" i="1" s="1"/>
  <c r="AA53" i="1" a="1"/>
  <c r="AA53" i="1" s="1"/>
  <c r="AB54" i="1" a="1"/>
  <c r="AB54" i="1" s="1"/>
  <c r="Z53" i="1" a="1"/>
  <c r="Z53" i="1" s="1"/>
  <c r="AC53" i="1" a="1"/>
  <c r="AC53" i="1" s="1"/>
  <c r="AA52" i="1" a="1"/>
  <c r="AA52" i="1" s="1"/>
  <c r="AB53" i="1" a="1"/>
  <c r="AB53" i="1" s="1"/>
  <c r="Z52" i="1" a="1"/>
  <c r="Z52" i="1" s="1"/>
  <c r="AC54" i="1" a="1"/>
  <c r="AC54" i="1" s="1"/>
  <c r="Z48" i="1" a="1"/>
  <c r="Z48" i="1" s="1"/>
  <c r="AA54" i="1" a="1"/>
  <c r="AA54" i="1" s="1"/>
  <c r="AA49" i="1" a="1"/>
  <c r="AA49" i="1" s="1"/>
  <c r="AB50" i="1" a="1"/>
  <c r="AB50" i="1" s="1"/>
  <c r="AA50" i="1" a="1"/>
  <c r="AA50" i="1" s="1"/>
  <c r="Z54" i="1" a="1"/>
  <c r="Z54" i="1" s="1"/>
  <c r="Z49" i="1" a="1"/>
  <c r="Z49" i="1" s="1"/>
</calcChain>
</file>

<file path=xl/sharedStrings.xml><?xml version="1.0" encoding="utf-8"?>
<sst xmlns="http://schemas.openxmlformats.org/spreadsheetml/2006/main" count="187" uniqueCount="122">
  <si>
    <t>월</t>
    <phoneticPr fontId="1" type="noConversion"/>
  </si>
  <si>
    <t>행 레이블</t>
  </si>
  <si>
    <t>총합계</t>
  </si>
  <si>
    <t>1월</t>
    <phoneticPr fontId="1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</si>
  <si>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</si>
  <si>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</si>
  <si>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</si>
  <si>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</si>
  <si>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</si>
  <si>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</si>
  <si>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</si>
  <si>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</si>
  <si>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</si>
  <si>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</si>
  <si>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2월</t>
    <phoneticPr fontId="1" type="noConversion"/>
  </si>
  <si>
    <t>월1</t>
    <phoneticPr fontId="1" type="noConversion"/>
  </si>
  <si>
    <t>날짜</t>
    <phoneticPr fontId="1" type="noConversion"/>
  </si>
  <si>
    <t>우선순위</t>
    <phoneticPr fontId="1" type="noConversion"/>
  </si>
  <si>
    <t>업무</t>
    <phoneticPr fontId="1" type="noConversion"/>
  </si>
  <si>
    <t>높음</t>
    <phoneticPr fontId="1" type="noConversion"/>
  </si>
  <si>
    <t>낮음</t>
    <phoneticPr fontId="1" type="noConversion"/>
  </si>
  <si>
    <t>구분</t>
    <phoneticPr fontId="1" type="noConversion"/>
  </si>
  <si>
    <t>일정</t>
    <phoneticPr fontId="1" type="noConversion"/>
  </si>
  <si>
    <t>할일</t>
    <phoneticPr fontId="1" type="noConversion"/>
  </si>
  <si>
    <t>아이콘</t>
    <phoneticPr fontId="1" type="noConversion"/>
  </si>
  <si>
    <t>개수 : 업무</t>
  </si>
  <si>
    <t>중간</t>
    <phoneticPr fontId="1" type="noConversion"/>
  </si>
  <si>
    <t>총합계</t>
    <phoneticPr fontId="1" type="noConversion"/>
  </si>
  <si>
    <t>시작전</t>
    <phoneticPr fontId="1" type="noConversion"/>
  </si>
  <si>
    <t>진행중</t>
    <phoneticPr fontId="1" type="noConversion"/>
  </si>
  <si>
    <t>완료</t>
    <phoneticPr fontId="1" type="noConversion"/>
  </si>
  <si>
    <t>레이블</t>
    <phoneticPr fontId="1" type="noConversion"/>
  </si>
  <si>
    <t>표시</t>
    <phoneticPr fontId="1" type="noConversion"/>
  </si>
  <si>
    <t>빈칸</t>
    <phoneticPr fontId="1" type="noConversion"/>
  </si>
  <si>
    <t>비고</t>
    <phoneticPr fontId="1" type="noConversion"/>
  </si>
  <si>
    <t>일정</t>
  </si>
  <si>
    <t>인스타그램 : @zzan_excel</t>
    <phoneticPr fontId="1" type="noConversion"/>
  </si>
  <si>
    <t>쓰레드 : @zzan_excel</t>
    <phoneticPr fontId="1" type="noConversion"/>
  </si>
  <si>
    <t>열 레이블</t>
  </si>
  <si>
    <t>높음</t>
  </si>
  <si>
    <t>카테고리</t>
    <phoneticPr fontId="1" type="noConversion"/>
  </si>
  <si>
    <t>중간</t>
  </si>
  <si>
    <t>낮음</t>
  </si>
  <si>
    <t>시작전</t>
  </si>
  <si>
    <t>시작일</t>
    <phoneticPr fontId="1" type="noConversion"/>
  </si>
  <si>
    <t>진행률</t>
    <phoneticPr fontId="1" type="noConversion"/>
  </si>
  <si>
    <t>상태</t>
    <phoneticPr fontId="1" type="noConversion"/>
  </si>
  <si>
    <t>완료율</t>
    <phoneticPr fontId="1" type="noConversion"/>
  </si>
  <si>
    <t>남은퍼센트</t>
    <phoneticPr fontId="1" type="noConversion"/>
  </si>
  <si>
    <t>주차</t>
    <phoneticPr fontId="1" type="noConversion"/>
  </si>
  <si>
    <t>메모장 좋은데?</t>
    <phoneticPr fontId="1" type="noConversion"/>
  </si>
  <si>
    <t>&lt;달력&gt;</t>
    <phoneticPr fontId="1" type="noConversion"/>
  </si>
  <si>
    <t>&lt;주간 달력&gt;</t>
    <phoneticPr fontId="1" type="noConversion"/>
  </si>
  <si>
    <t>&lt;주차&gt;</t>
    <phoneticPr fontId="1" type="noConversion"/>
  </si>
  <si>
    <t>월요일</t>
    <phoneticPr fontId="1" type="noConversion"/>
  </si>
  <si>
    <t>일요일</t>
  </si>
  <si>
    <t>일요일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</si>
  <si>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</si>
  <si>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</si>
  <si>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</si>
  <si>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</si>
  <si>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</si>
  <si>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</si>
  <si>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&lt;할일 시트 첫 행 번호&gt;</t>
    <phoneticPr fontId="1" type="noConversion"/>
  </si>
  <si>
    <t>Mandala Goal Chart</t>
    <phoneticPr fontId="1" type="noConversion"/>
  </si>
  <si>
    <t>Note</t>
    <phoneticPr fontId="1" type="noConversion"/>
  </si>
  <si>
    <t>Check List</t>
    <phoneticPr fontId="1" type="noConversion"/>
  </si>
  <si>
    <t>루틴1</t>
    <phoneticPr fontId="1" type="noConversion"/>
  </si>
  <si>
    <t>루틴2</t>
    <phoneticPr fontId="1" type="noConversion"/>
  </si>
  <si>
    <t>루틴3</t>
    <phoneticPr fontId="1" type="noConversion"/>
  </si>
  <si>
    <t>블로그 : 김짠짠</t>
    <phoneticPr fontId="1" type="noConversion"/>
  </si>
  <si>
    <t>설문조사:</t>
    <phoneticPr fontId="1" type="noConversion"/>
  </si>
  <si>
    <t>완료</t>
  </si>
  <si>
    <t>🗓️</t>
    <phoneticPr fontId="1" type="noConversion"/>
  </si>
  <si>
    <t>https://b6i5gK.short.gy/Instagram</t>
    <phoneticPr fontId="1" type="noConversion"/>
  </si>
  <si>
    <t>https://b6i5gK.short.gy/threads</t>
    <phoneticPr fontId="1" type="noConversion"/>
  </si>
  <si>
    <t>유튜브 : 짠엑셀</t>
    <phoneticPr fontId="1" type="noConversion"/>
  </si>
  <si>
    <t>https://b6i5gK.short.gy/youtube</t>
    <phoneticPr fontId="1" type="noConversion"/>
  </si>
  <si>
    <t>https://b6i5gK.short.gy/blog</t>
    <phoneticPr fontId="1" type="noConversion"/>
  </si>
  <si>
    <t>월요일</t>
  </si>
  <si>
    <t>진행중</t>
  </si>
  <si>
    <t>간단한 노트로 활용
'표시' 열 수식 삭제 금지</t>
    <phoneticPr fontId="1" type="noConversion"/>
  </si>
  <si>
    <t>안녕하세요 김짠짠입니다:)</t>
    <phoneticPr fontId="1" type="noConversion"/>
  </si>
  <si>
    <t>https://b6i5gK.short.gy/free_survey</t>
    <phoneticPr fontId="1" type="noConversion"/>
  </si>
  <si>
    <t>런칭 기간에 시리즈로 공개되는 영상에도 댓글로 참여해 주시면 감사하겠습니다.</t>
    <phoneticPr fontId="1" type="noConversion"/>
  </si>
  <si>
    <t>유용하게 사용하시기 바래요:)</t>
    <phoneticPr fontId="1" type="noConversion"/>
  </si>
  <si>
    <t>김짠짠 드림</t>
    <phoneticPr fontId="1" type="noConversion"/>
  </si>
  <si>
    <t>실행 방안</t>
  </si>
  <si>
    <t>실행 방안</t>
    <phoneticPr fontId="1" type="noConversion"/>
  </si>
  <si>
    <t>세부 목표</t>
  </si>
  <si>
    <t>세부 목표</t>
    <phoneticPr fontId="1" type="noConversion"/>
  </si>
  <si>
    <t>핵심 목표</t>
    <phoneticPr fontId="1" type="noConversion"/>
  </si>
  <si>
    <t>프로모션</t>
  </si>
  <si>
    <t>할일</t>
  </si>
  <si>
    <t>간단하게 할 일을 정리하고 싶은 분께 도움이 되도록 만들었어요.</t>
    <phoneticPr fontId="1" type="noConversion"/>
  </si>
  <si>
    <t>할일 시트에 업무를 입력하면 달력 시트에 자동 반영되어,</t>
    <phoneticPr fontId="1" type="noConversion"/>
  </si>
  <si>
    <t>자세한 설명이 필요하면 아래 설명서 링크를 확인해 주세요.</t>
    <phoneticPr fontId="1" type="noConversion"/>
  </si>
  <si>
    <t>To do list를 더 편하게 활용할 수 있는 꿀팁을 얻어가실 수 있어요.</t>
    <phoneticPr fontId="1" type="noConversion"/>
  </si>
  <si>
    <t>사용해보신 후 피드백을 남겨주시면 더 좋은 템플릿을 만드는 데 큰 도움이 됩니다.</t>
  </si>
  <si>
    <t>댓글, 설문조사, 카카오톡 채팅 등 편하신 방법으로 남겨주세요.</t>
  </si>
  <si>
    <t>https://b6i5gk.short.gy/manual_2.0</t>
    <phoneticPr fontId="1" type="noConversion"/>
  </si>
  <si>
    <t>(엑셀 2013 버전 이상에서 사용)</t>
    <phoneticPr fontId="1" type="noConversion"/>
  </si>
  <si>
    <t>(할일 시트 구분 세팅)</t>
    <phoneticPr fontId="1" type="noConversion"/>
  </si>
  <si>
    <t>아이콘 단축키 : 셀 더블 클릭 후 Win + V - 이모지</t>
    <phoneticPr fontId="1" type="noConversion"/>
  </si>
  <si>
    <t xml:space="preserve">달력 아이콘을 변경하고 싶을 때 추가 및 수정해주세요.
</t>
    <phoneticPr fontId="1" type="noConversion"/>
  </si>
  <si>
    <t>https://litt.ly/zzan_excel</t>
    <phoneticPr fontId="1" type="noConversion"/>
  </si>
  <si>
    <t>웹사이트 : @zzan_excel</t>
    <phoneticPr fontId="1" type="noConversion"/>
  </si>
  <si>
    <t>설명서(구글):</t>
    <phoneticPr fontId="1" type="noConversion"/>
  </si>
  <si>
    <t>설명서(엑셀):</t>
    <phoneticPr fontId="1" type="noConversion"/>
  </si>
  <si>
    <t>https://b6i5gk.short.gy/manual_1.0_google</t>
    <phoneticPr fontId="1" type="noConversion"/>
  </si>
  <si>
    <t>해야할 일을 한 눈에 확인할 수 있습니다.</t>
    <phoneticPr fontId="1" type="noConversion"/>
  </si>
  <si>
    <t>10:00 신제품 프로모션 미팅</t>
  </si>
  <si>
    <t>블로그 초안 작성</t>
  </si>
  <si>
    <t>블로그 포스팅</t>
  </si>
  <si>
    <t>카드뉴스 기획</t>
  </si>
  <si>
    <t>카드뉴스 초안 작성</t>
  </si>
  <si>
    <t>카드뉴스 포스팅</t>
  </si>
  <si>
    <t>이메일 뉴스레터 기획</t>
  </si>
  <si>
    <t>이메일 뉴스레터 초안 작성</t>
  </si>
  <si>
    <t>이메일 뉴스레터 발행</t>
  </si>
  <si>
    <t>11:00 미팅</t>
  </si>
  <si>
    <t>회의실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</si>
</sst>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76" formatCode="d"/>
    <numFmt numFmtId="177" formatCode=";;;"/>
    <numFmt numFmtId="178" formatCode="mm&quot;월&quot;\ dd&quot;일&quot;"/>
    <numFmt numFmtId="179" formatCode="0&quot;월&quot;"/>
    <numFmt numFmtId="180" formatCode="0&quot;년&quot;"/>
    <numFmt numFmtId="181" formatCode="0;\-0;;@"/>
    <numFmt numFmtId="182" formatCode="yyyy/mm/dd\ aaa"/>
    <numFmt numFmtId="183" formatCode="yyyy&quot;-&quot;mm&quot;-&quot;dd\ aaa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Segoe UI Emoji"/>
      <family val="2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rgb="FFFE640E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36"/>
      <color theme="1"/>
      <name val="Franklin Gothic Heavy"/>
      <family val="2"/>
    </font>
    <font>
      <sz val="9"/>
      <color theme="0" tint="-0.499984740745262"/>
      <name val="맑은 고딕"/>
      <family val="3"/>
      <charset val="129"/>
      <scheme val="minor"/>
    </font>
    <font>
      <sz val="11"/>
      <color theme="1"/>
      <name val="ADLaM Display"/>
    </font>
    <font>
      <b/>
      <sz val="11"/>
      <color theme="7"/>
      <name val="맑은 고딕"/>
      <family val="3"/>
      <charset val="129"/>
      <scheme val="minor"/>
    </font>
    <font>
      <b/>
      <sz val="11"/>
      <color rgb="FF3485F2"/>
      <name val="맑은 고딕"/>
      <family val="3"/>
      <charset val="129"/>
      <scheme val="minor"/>
    </font>
    <font>
      <b/>
      <sz val="11"/>
      <color theme="6"/>
      <name val="맑은 고딕"/>
      <family val="3"/>
      <charset val="129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8601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F7FE"/>
        <bgColor indexed="64"/>
      </patternFill>
    </fill>
    <fill>
      <patternFill patternType="solid">
        <fgColor rgb="FFF9BFB1"/>
        <bgColor indexed="64"/>
      </patternFill>
    </fill>
    <fill>
      <patternFill patternType="solid">
        <fgColor rgb="FFEBFDFF"/>
        <bgColor indexed="64"/>
      </patternFill>
    </fill>
    <fill>
      <patternFill patternType="solid">
        <fgColor rgb="FFDEDBFD"/>
        <bgColor indexed="64"/>
      </patternFill>
    </fill>
    <fill>
      <patternFill patternType="solid">
        <fgColor rgb="FFFEF5DE"/>
        <bgColor indexed="64"/>
      </patternFill>
    </fill>
    <fill>
      <patternFill patternType="solid">
        <fgColor rgb="FFFFEFF7"/>
        <bgColor indexed="64"/>
      </patternFill>
    </fill>
    <fill>
      <patternFill patternType="solid">
        <fgColor rgb="FFEBFBF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CE2DC"/>
        <bgColor indexed="64"/>
      </patternFill>
    </fill>
    <fill>
      <patternFill patternType="solid">
        <fgColor rgb="FFF5EDF9"/>
        <bgColor indexed="64"/>
      </patternFill>
    </fill>
    <fill>
      <patternFill patternType="solid">
        <fgColor rgb="FFE8E8E8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8764000366222"/>
      </left>
      <right/>
      <top/>
      <bottom/>
      <diagonal/>
    </border>
    <border>
      <left/>
      <right style="thin">
        <color theme="0" tint="-0.1498764000366222"/>
      </right>
      <top/>
      <bottom/>
      <diagonal/>
    </border>
    <border>
      <left style="thin">
        <color theme="0" tint="-0.1498458815271462"/>
      </left>
      <right style="thin">
        <color theme="0" tint="-0.1498458815271462"/>
      </right>
      <top style="thin">
        <color theme="0" tint="-0.1498458815271462"/>
      </top>
      <bottom style="thin">
        <color theme="0" tint="-0.1498458815271462"/>
      </bottom>
      <diagonal/>
    </border>
    <border>
      <left style="thin">
        <color theme="0" tint="-0.1498764000366222"/>
      </left>
      <right style="thin">
        <color theme="0" tint="-0.1498764000366222"/>
      </right>
      <top/>
      <bottom/>
      <diagonal/>
    </border>
  </borders>
  <cellStyleXfs count="3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180" fontId="0" fillId="2" borderId="0" xfId="0" applyNumberFormat="1" applyFill="1">
      <alignment vertical="center"/>
    </xf>
    <xf numFmtId="179" fontId="0" fillId="2" borderId="0" xfId="0" applyNumberFormat="1" applyFill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14" fillId="0" borderId="14" xfId="1" applyBorder="1">
      <alignment vertical="center"/>
    </xf>
    <xf numFmtId="0" fontId="14" fillId="0" borderId="0" xfId="1" applyBorder="1">
      <alignment vertical="center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7" borderId="0" xfId="0" applyFill="1">
      <alignment vertical="center"/>
    </xf>
    <xf numFmtId="14" fontId="0" fillId="2" borderId="0" xfId="0" applyNumberFormat="1" applyFill="1">
      <alignment vertical="center"/>
    </xf>
    <xf numFmtId="0" fontId="0" fillId="0" borderId="1" xfId="0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center" vertical="center" wrapText="1"/>
    </xf>
    <xf numFmtId="0" fontId="18" fillId="18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center" vertical="center" wrapText="1"/>
    </xf>
    <xf numFmtId="0" fontId="18" fillId="20" borderId="1" xfId="0" applyFont="1" applyFill="1" applyBorder="1" applyAlignment="1">
      <alignment horizontal="center" vertical="center" wrapText="1"/>
    </xf>
    <xf numFmtId="0" fontId="18" fillId="21" borderId="1" xfId="0" applyFont="1" applyFill="1" applyBorder="1" applyAlignment="1">
      <alignment horizontal="center" vertical="center" wrapText="1"/>
    </xf>
    <xf numFmtId="0" fontId="18" fillId="24" borderId="1" xfId="0" applyFont="1" applyFill="1" applyBorder="1" applyAlignment="1">
      <alignment horizontal="center" vertical="center" wrapText="1"/>
    </xf>
    <xf numFmtId="0" fontId="18" fillId="25" borderId="1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left" vertical="center" wrapText="1" indent="1"/>
    </xf>
    <xf numFmtId="0" fontId="17" fillId="0" borderId="16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26" borderId="16" xfId="0" applyFont="1" applyFill="1" applyBorder="1" applyAlignment="1">
      <alignment horizontal="center" vertical="center"/>
    </xf>
    <xf numFmtId="0" fontId="17" fillId="26" borderId="2" xfId="0" applyFont="1" applyFill="1" applyBorder="1" applyAlignment="1">
      <alignment horizontal="center" vertical="center"/>
    </xf>
    <xf numFmtId="0" fontId="19" fillId="11" borderId="15" xfId="0" applyFont="1" applyFill="1" applyBorder="1" applyAlignment="1">
      <alignment horizontal="center" vertical="center" wrapText="1"/>
    </xf>
    <xf numFmtId="0" fontId="19" fillId="23" borderId="1" xfId="0" applyFont="1" applyFill="1" applyBorder="1" applyAlignment="1">
      <alignment horizontal="center" vertical="center" wrapText="1"/>
    </xf>
    <xf numFmtId="0" fontId="19" fillId="2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19" fillId="16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19" fillId="15" borderId="1" xfId="0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16" fillId="7" borderId="16" xfId="0" applyFont="1" applyFill="1" applyBorder="1" applyAlignment="1">
      <alignment horizontal="center" vertical="center"/>
    </xf>
    <xf numFmtId="0" fontId="6" fillId="2" borderId="0" xfId="0" applyFont="1" applyFill="1" applyProtection="1">
      <alignment vertical="center"/>
      <protection locked="0"/>
    </xf>
    <xf numFmtId="0" fontId="0" fillId="2" borderId="0" xfId="0" applyFill="1" applyProtection="1">
      <alignment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5" borderId="0" xfId="0" applyFill="1" applyAlignment="1" applyProtection="1">
      <alignment horizontal="center" vertical="center"/>
      <protection locked="0"/>
    </xf>
    <xf numFmtId="181" fontId="13" fillId="2" borderId="0" xfId="0" applyNumberFormat="1" applyFont="1" applyFill="1" applyProtection="1">
      <alignment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181" fontId="13" fillId="9" borderId="0" xfId="0" applyNumberFormat="1" applyFont="1" applyFill="1" applyAlignment="1" applyProtection="1">
      <alignment horizontal="center" vertical="center"/>
      <protection locked="0"/>
    </xf>
    <xf numFmtId="181" fontId="13" fillId="9" borderId="0" xfId="0" applyNumberFormat="1" applyFont="1" applyFill="1" applyProtection="1">
      <alignment vertical="center"/>
      <protection locked="0"/>
    </xf>
    <xf numFmtId="0" fontId="20" fillId="2" borderId="0" xfId="0" applyFont="1" applyFill="1" applyAlignment="1">
      <alignment horizontal="left" vertical="center"/>
    </xf>
    <xf numFmtId="0" fontId="14" fillId="0" borderId="0" xfId="1">
      <alignment vertical="center"/>
    </xf>
    <xf numFmtId="0" fontId="13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2" fillId="3" borderId="18" xfId="0" applyFont="1" applyFill="1" applyBorder="1" applyAlignment="1">
      <alignment horizontal="center" vertical="center"/>
    </xf>
    <xf numFmtId="182" fontId="12" fillId="3" borderId="20" xfId="0" applyNumberFormat="1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9" fontId="2" fillId="0" borderId="19" xfId="0" applyNumberFormat="1" applyFont="1" applyBorder="1" applyAlignment="1">
      <alignment horizontal="center" vertical="center"/>
    </xf>
    <xf numFmtId="0" fontId="7" fillId="2" borderId="0" xfId="0" applyFont="1" applyFill="1" applyProtection="1">
      <alignment vertical="center"/>
      <protection locked="0"/>
    </xf>
    <xf numFmtId="177" fontId="6" fillId="2" borderId="0" xfId="0" applyNumberFormat="1" applyFont="1" applyFill="1" applyProtection="1">
      <alignment vertical="center"/>
      <protection locked="0"/>
    </xf>
    <xf numFmtId="177" fontId="7" fillId="2" borderId="0" xfId="0" applyNumberFormat="1" applyFont="1" applyFill="1" applyProtection="1">
      <alignment vertical="center"/>
      <protection locked="0"/>
    </xf>
    <xf numFmtId="0" fontId="11" fillId="3" borderId="2" xfId="0" applyFont="1" applyFill="1" applyBorder="1" applyAlignment="1">
      <alignment horizontal="centerContinuous" vertical="center"/>
    </xf>
    <xf numFmtId="0" fontId="9" fillId="3" borderId="2" xfId="0" applyFont="1" applyFill="1" applyBorder="1" applyAlignment="1">
      <alignment horizontal="centerContinuous" vertical="center"/>
    </xf>
    <xf numFmtId="0" fontId="10" fillId="3" borderId="2" xfId="0" applyFont="1" applyFill="1" applyBorder="1" applyAlignment="1">
      <alignment horizontal="centerContinuous" vertical="center"/>
    </xf>
    <xf numFmtId="176" fontId="8" fillId="0" borderId="8" xfId="0" applyNumberFormat="1" applyFont="1" applyBorder="1" applyAlignment="1">
      <alignment horizontal="centerContinuous" vertical="center"/>
    </xf>
    <xf numFmtId="176" fontId="5" fillId="0" borderId="9" xfId="0" applyNumberFormat="1" applyFont="1" applyBorder="1" applyAlignment="1">
      <alignment horizontal="centerContinuous" vertical="center"/>
    </xf>
    <xf numFmtId="176" fontId="5" fillId="0" borderId="10" xfId="0" applyNumberFormat="1" applyFont="1" applyBorder="1" applyAlignment="1">
      <alignment horizontal="centerContinuous" vertical="center"/>
    </xf>
    <xf numFmtId="181" fontId="13" fillId="0" borderId="3" xfId="0" applyNumberFormat="1" applyFont="1" applyBorder="1" applyAlignment="1">
      <alignment horizontal="right" vertical="center"/>
    </xf>
    <xf numFmtId="181" fontId="13" fillId="0" borderId="0" xfId="0" applyNumberFormat="1" applyFont="1" applyAlignment="1">
      <alignment horizontal="center" vertical="center"/>
    </xf>
    <xf numFmtId="181" fontId="13" fillId="0" borderId="4" xfId="0" applyNumberFormat="1" applyFont="1" applyBorder="1" applyAlignment="1">
      <alignment horizontal="center" vertical="center"/>
    </xf>
    <xf numFmtId="181" fontId="13" fillId="0" borderId="3" xfId="0" applyNumberFormat="1" applyFont="1" applyBorder="1" applyAlignment="1">
      <alignment horizontal="right" vertical="center" wrapText="1"/>
    </xf>
    <xf numFmtId="0" fontId="0" fillId="2" borderId="19" xfId="0" applyFill="1" applyBorder="1" applyAlignment="1">
      <alignment horizontal="center" vertical="center"/>
    </xf>
    <xf numFmtId="0" fontId="12" fillId="3" borderId="20" xfId="0" applyFont="1" applyFill="1" applyBorder="1" applyAlignment="1">
      <alignment horizontal="left" vertical="center"/>
    </xf>
    <xf numFmtId="181" fontId="13" fillId="0" borderId="0" xfId="0" applyNumberFormat="1" applyFont="1" applyAlignment="1">
      <alignment horizontal="left" vertical="center"/>
    </xf>
    <xf numFmtId="181" fontId="13" fillId="2" borderId="0" xfId="0" applyNumberFormat="1" applyFont="1" applyFill="1" applyAlignment="1" applyProtection="1">
      <alignment horizontal="center" vertical="center"/>
      <protection locked="0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3" fontId="0" fillId="0" borderId="19" xfId="0" applyNumberFormat="1" applyBorder="1" applyAlignment="1">
      <alignment horizontal="center" vertical="center"/>
    </xf>
    <xf numFmtId="0" fontId="21" fillId="2" borderId="0" xfId="0" applyFont="1" applyFill="1">
      <alignment vertical="center"/>
    </xf>
    <xf numFmtId="178" fontId="7" fillId="0" borderId="5" xfId="0" applyNumberFormat="1" applyFont="1" applyBorder="1" applyAlignment="1">
      <alignment horizontal="center" vertical="center"/>
    </xf>
    <xf numFmtId="178" fontId="7" fillId="0" borderId="6" xfId="0" applyNumberFormat="1" applyFont="1" applyBorder="1" applyAlignment="1">
      <alignment horizontal="center" vertical="center"/>
    </xf>
    <xf numFmtId="178" fontId="7" fillId="0" borderId="7" xfId="0" applyNumberFormat="1" applyFont="1" applyBorder="1" applyAlignment="1">
      <alignment horizontal="center" vertical="center"/>
    </xf>
    <xf numFmtId="0" fontId="0" fillId="8" borderId="0" xfId="0" applyFill="1" applyAlignment="1">
      <alignment horizontal="center" vertical="center" wrapText="1"/>
    </xf>
  </cellXfs>
  <cellStyles count="3">
    <cellStyle name="백분율" xfId="2" builtinId="5"/>
    <cellStyle name="표준" xfId="0" builtinId="0"/>
    <cellStyle name="하이퍼링크" xfId="1" builtinId="8"/>
  </cellStyles>
  <dxfs count="60">
    <dxf>
      <font>
        <color theme="3" tint="0.749961851863155"/>
      </font>
    </dxf>
    <dxf>
      <border>
        <left style="thin">
          <color rgb="FF7AAEE2"/>
        </left>
        <right style="thin">
          <color rgb="FF7AAEE2"/>
        </right>
        <top style="thin">
          <color rgb="FF7AAEE2"/>
        </top>
        <bottom style="thin">
          <color rgb="FF7AAEE2"/>
        </bottom>
        <vertical/>
        <horizontal/>
      </border>
    </dxf>
    <dxf>
      <font>
        <b/>
        <i val="0"/>
        <color theme="3" tint="0.499984740745262"/>
      </font>
      <fill>
        <patternFill patternType="none">
          <bgColor auto="1"/>
        </patternFill>
      </fill>
    </dxf>
    <dxf>
      <font>
        <strike/>
        <color theme="0" tint="-0.34998626667073579"/>
      </font>
      <fill>
        <patternFill>
          <bgColor theme="0" tint="-0.14996795556505021"/>
        </patternFill>
      </fill>
    </dxf>
    <dxf>
      <font>
        <strike/>
        <color rgb="FFBFBFBF"/>
      </font>
    </dxf>
    <dxf>
      <fill>
        <patternFill patternType="solid">
          <fgColor indexed="64"/>
          <bgColor rgb="FFFFF3CD"/>
        </patternFill>
      </fill>
    </dxf>
    <dxf>
      <fill>
        <patternFill patternType="solid">
          <fgColor indexed="64"/>
          <bgColor rgb="FFFFDDC1"/>
        </patternFill>
      </fill>
    </dxf>
    <dxf>
      <fill>
        <patternFill patternType="solid">
          <fgColor indexed="64"/>
          <bgColor rgb="FFFFF3CD"/>
        </patternFill>
      </fill>
    </dxf>
    <dxf>
      <font>
        <color theme="0" tint="-0.34998626667073579"/>
      </font>
    </dxf>
    <dxf>
      <font>
        <b/>
        <i val="0"/>
        <color rgb="FF5E9DDC"/>
      </font>
    </dxf>
    <dxf>
      <font>
        <color rgb="FF4D93D9"/>
      </font>
    </dxf>
    <dxf>
      <font>
        <color rgb="FFFE640E"/>
      </font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Emoj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8458815271462"/>
        </left>
        <right style="thin">
          <color theme="0" tint="-0.1498458815271462"/>
        </right>
        <top style="thin">
          <color theme="0" tint="-0.1498458815271462"/>
        </top>
        <bottom style="thin">
          <color theme="0" tint="-0.1498458815271462"/>
        </bottom>
      </border>
    </dxf>
    <dxf>
      <alignment horizontal="left" vertical="center" textRotation="0" wrapText="0" relativeIndent="-1" justifyLastLine="0" shrinkToFit="0" readingOrder="0"/>
      <border diagonalUp="0" diagonalDown="0" outline="0">
        <left style="thin">
          <color theme="0" tint="-0.1498458815271462"/>
        </left>
        <right style="thin">
          <color theme="0" tint="-0.1498458815271462"/>
        </right>
        <top style="thin">
          <color theme="0" tint="-0.1498458815271462"/>
        </top>
        <bottom style="thin">
          <color theme="0" tint="-0.1498458815271462"/>
        </bottom>
      </border>
    </dxf>
    <dxf>
      <font>
        <b/>
        <family val="3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theme="0" tint="-0.1498458815271462"/>
        </left>
        <right style="thin">
          <color theme="0" tint="-0.1498458815271462"/>
        </right>
        <top style="thin">
          <color theme="0" tint="-0.1498458815271462"/>
        </top>
        <bottom style="thin">
          <color theme="0" tint="-0.1498458815271462"/>
        </bottom>
        <vertical style="thin">
          <color theme="0" tint="-0.1498458815271462"/>
        </vertical>
        <horizontal style="thin">
          <color theme="0" tint="-0.1498458815271462"/>
        </horizontal>
      </border>
    </dxf>
    <dxf>
      <alignment horizontal="left" vertical="center" textRotation="0" wrapText="0" relativeIndent="-1" justifyLastLine="0" shrinkToFit="0" readingOrder="0"/>
      <border diagonalUp="0" diagonalDown="0" outline="0">
        <left style="thin">
          <color theme="0" tint="-0.1498458815271462"/>
        </left>
        <right style="thin">
          <color theme="0" tint="-0.1498458815271462"/>
        </right>
        <top style="thin">
          <color theme="0" tint="-0.1498458815271462"/>
        </top>
        <bottom style="thin">
          <color theme="0" tint="-0.1498458815271462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0" tint="-0.1498458815271462"/>
        </left>
        <right style="thin">
          <color theme="0" tint="-0.1498458815271462"/>
        </right>
        <top style="thin">
          <color theme="0" tint="-0.1498458815271462"/>
        </top>
        <bottom style="thin">
          <color theme="0" tint="-0.1498458815271462"/>
        </bottom>
        <vertical style="thin">
          <color theme="0" tint="-0.1498458815271462"/>
        </vertical>
        <horizontal style="thin">
          <color theme="0" tint="-0.1498458815271462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1498458815271462"/>
        </left>
        <right style="thin">
          <color theme="0" tint="-0.1498458815271462"/>
        </right>
        <top style="thin">
          <color theme="0" tint="-0.1498458815271462"/>
        </top>
        <bottom style="thin">
          <color theme="0" tint="-0.1498458815271462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1498458815271462"/>
        </left>
        <right style="thin">
          <color theme="0" tint="-0.1498458815271462"/>
        </right>
        <top style="thin">
          <color theme="0" tint="-0.1498458815271462"/>
        </top>
        <bottom style="thin">
          <color theme="0" tint="-0.1498458815271462"/>
        </bottom>
      </border>
    </dxf>
    <dxf>
      <numFmt numFmtId="183" formatCode="yyyy&quot;-&quot;mm&quot;-&quot;dd\ aaa"/>
      <alignment horizontal="center" vertical="center" textRotation="0" wrapText="0" indent="0" justifyLastLine="0" shrinkToFit="0" readingOrder="0"/>
      <border diagonalUp="0" diagonalDown="0" outline="0">
        <left style="thin">
          <color theme="0" tint="-0.1498458815271462"/>
        </left>
        <right style="thin">
          <color theme="0" tint="-0.1498458815271462"/>
        </right>
        <top style="thin">
          <color theme="0" tint="-0.1498458815271462"/>
        </top>
        <bottom style="thin">
          <color theme="0" tint="-0.1498458815271462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1498458815271462"/>
        </left>
        <right style="thin">
          <color theme="0" tint="-0.1498458815271462"/>
        </right>
        <top style="thin">
          <color theme="0" tint="-0.1498458815271462"/>
        </top>
        <bottom style="thin">
          <color theme="0" tint="-0.1498458815271462"/>
        </bottom>
        <vertical style="thin">
          <color theme="0" tint="-0.1498458815271462"/>
        </vertical>
        <horizontal style="thin">
          <color theme="0" tint="-0.1498458815271462"/>
        </horizontal>
      </border>
    </dxf>
    <dxf>
      <border>
        <top style="thin">
          <color theme="0" tint="-0.14990691854609822"/>
        </top>
      </border>
    </dxf>
    <dxf>
      <border diagonalUp="0" diagonalDown="0">
        <left style="thin">
          <color theme="0" tint="-0.1498764000366222"/>
        </left>
        <right style="thin">
          <color theme="0" tint="-0.1498764000366222"/>
        </right>
        <top/>
        <bottom/>
        <vertical style="thin">
          <color theme="0" tint="-0.1498764000366222"/>
        </vertical>
        <horizontal style="thin">
          <color theme="0" tint="-0.1498764000366222"/>
        </horizontal>
      </border>
    </dxf>
    <dxf>
      <border diagonalUp="0" diagonalDown="0">
        <left style="thin">
          <color theme="0" tint="-0.1498764000366222"/>
        </left>
        <right style="thin">
          <color theme="0" tint="-0.1498764000366222"/>
        </right>
        <top style="thin">
          <color theme="0" tint="-0.1498764000366222"/>
        </top>
        <bottom style="thin">
          <color theme="0" tint="-0.1498764000366222"/>
        </bottom>
      </border>
    </dxf>
    <dxf>
      <border>
        <bottom style="thin">
          <color theme="0" tint="-0.1498764000366222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8764000366222"/>
        </left>
        <right style="thin">
          <color theme="0" tint="-0.1498764000366222"/>
        </right>
        <top/>
        <bottom/>
        <vertical style="thin">
          <color theme="0" tint="-0.1498764000366222"/>
        </vertical>
        <horizontal style="thin">
          <color theme="0" tint="-0.1498764000366222"/>
        </horizontal>
      </border>
    </dxf>
    <dxf>
      <border diagonalUp="0" diagonalDown="0">
        <left/>
        <right/>
        <top/>
        <bottom/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3" tint="0.89996032593768116"/>
        </bottom>
        <vertical/>
        <horizontal/>
      </border>
    </dxf>
    <dxf>
      <font>
        <sz val="13"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3" tint="0.89996032593768116"/>
        </bottom>
        <vertical/>
        <horizontal/>
      </border>
    </dxf>
    <dxf>
      <font>
        <sz val="16"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sz val="16"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6"/>
        <color theme="1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3" tint="0.89996032593768116"/>
        </bottom>
        <vertical/>
        <horizontal/>
      </border>
    </dxf>
    <dxf>
      <font>
        <sz val="10"/>
        <color theme="1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3" tint="0.89996032593768116"/>
        </bottom>
        <vertical/>
        <horizontal/>
      </border>
    </dxf>
    <dxf>
      <font>
        <sz val="7"/>
        <color theme="1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3" tint="0.89996032593768116"/>
        </bottom>
        <vertical/>
        <horizontal/>
      </border>
    </dxf>
    <dxf>
      <font>
        <sz val="8"/>
        <color theme="1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sz val="6"/>
        <color theme="1"/>
      </font>
      <border>
        <bottom style="thin">
          <color theme="5"/>
        </bottom>
        <vertical/>
        <horizontal/>
      </border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sz val="8"/>
        <color theme="1"/>
      </font>
      <border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6" defaultTableStyle="TableStyleMedium2" defaultPivotStyle="PivotStyleLight16">
    <tableStyle name="SlicerStyleDark1 2" pivot="0" table="0" count="10" xr9:uid="{3A7CB6D9-6E09-4D03-AC25-4098097FDE77}">
      <tableStyleElement type="wholeTable" dxfId="59"/>
      <tableStyleElement type="headerRow" dxfId="58"/>
    </tableStyle>
    <tableStyle name="SlicerStyleLight1 2" pivot="0" table="0" count="10" xr9:uid="{A023D8C0-C7EE-45F7-80D2-903BFC47E6A4}">
      <tableStyleElement type="wholeTable" dxfId="57"/>
      <tableStyleElement type="headerRow" dxfId="56"/>
    </tableStyle>
    <tableStyle name="SlicerStyleLight1 3" pivot="0" table="0" count="10" xr9:uid="{E8348445-7A66-464D-AD5A-B48652D434A8}">
      <tableStyleElement type="wholeTable" dxfId="55"/>
      <tableStyleElement type="headerRow" dxfId="54"/>
    </tableStyle>
    <tableStyle name="SlicerStyleLight2 2" pivot="0" table="0" count="10" xr9:uid="{D2CC0926-52CE-40EB-B4FC-6EE7B46EA328}">
      <tableStyleElement type="wholeTable" dxfId="53"/>
      <tableStyleElement type="headerRow" dxfId="52"/>
    </tableStyle>
    <tableStyle name="SlicerStyleLight2 3" pivot="0" table="0" count="10" xr9:uid="{C2F2BCB3-6D81-4498-9A20-FD10011B789F}">
      <tableStyleElement type="wholeTable" dxfId="51"/>
      <tableStyleElement type="headerRow" dxfId="50"/>
    </tableStyle>
    <tableStyle name="SlicerStyleLight2 3 2" pivot="0" table="0" count="10" xr9:uid="{077B0A2E-0F65-420D-9254-2149757A989A}">
      <tableStyleElement type="wholeTable" dxfId="49"/>
      <tableStyleElement type="headerRow" dxfId="48"/>
    </tableStyle>
    <tableStyle name="SlicerStyleLight2 3 2 2" pivot="0" table="0" count="10" xr9:uid="{1E84DD23-BDD6-46B4-8DF2-74DBEE9762C4}">
      <tableStyleElement type="wholeTable" dxfId="47"/>
      <tableStyleElement type="headerRow" dxfId="46"/>
    </tableStyle>
    <tableStyle name="SlicerStyleLight2 3 2 2 2" pivot="0" table="0" count="10" xr9:uid="{A9174D82-B638-4063-8714-873CB5113DEA}">
      <tableStyleElement type="wholeTable" dxfId="45"/>
      <tableStyleElement type="headerRow" dxfId="44"/>
    </tableStyle>
    <tableStyle name="SlicerStyleLight2 3 2 2 3" pivot="0" table="0" count="10" xr9:uid="{36825D01-20AB-4BB3-9803-C2745CA2DEDA}">
      <tableStyleElement type="wholeTable" dxfId="43"/>
      <tableStyleElement type="headerRow" dxfId="42"/>
    </tableStyle>
    <tableStyle name="SlicerStyleLight2 3 2 3" pivot="0" table="0" count="10" xr9:uid="{EDFD4C8B-E246-4DD7-8A50-7E4863264F2C}">
      <tableStyleElement type="wholeTable" dxfId="41"/>
      <tableStyleElement type="headerRow" dxfId="40"/>
    </tableStyle>
    <tableStyle name="SlicerStyleLight6 2" pivot="0" table="0" count="10" xr9:uid="{AAF2C8C8-BE94-4842-BAA1-8E27CF239A5F}">
      <tableStyleElement type="wholeTable" dxfId="39"/>
      <tableStyleElement type="headerRow" dxfId="38"/>
    </tableStyle>
    <tableStyle name="SlicerStyleLight6 2 3" pivot="0" table="0" count="10" xr9:uid="{E2D94631-9A27-4CC4-94FC-1D065C78D054}">
      <tableStyleElement type="wholeTable" dxfId="37"/>
      <tableStyleElement type="headerRow" dxfId="36"/>
    </tableStyle>
    <tableStyle name="SlicerStyleLight6 2 3 2" pivot="0" table="0" count="10" xr9:uid="{6A363FF9-0856-424C-92D5-A096383E93B7}">
      <tableStyleElement type="wholeTable" dxfId="35"/>
      <tableStyleElement type="headerRow" dxfId="34"/>
    </tableStyle>
    <tableStyle name="SlicerStyleLight6 3" pivot="0" table="0" count="10" xr9:uid="{CDFC3C11-1E40-4DB4-9077-309DBFFFC462}">
      <tableStyleElement type="wholeTable" dxfId="33"/>
      <tableStyleElement type="headerRow" dxfId="32"/>
    </tableStyle>
    <tableStyle name="슬라이서 스타일 1" pivot="0" table="0" count="4" xr9:uid="{B2F883A3-BF83-4167-A5AA-B2F420875E75}">
      <tableStyleElement type="wholeTable" dxfId="31"/>
      <tableStyleElement type="headerRow" dxfId="30"/>
    </tableStyle>
    <tableStyle name="슬라이서 스타일 2" pivot="0" table="0" count="0" xr9:uid="{A82832A8-0906-45EB-B9EE-0FC673980FEE}"/>
  </tableStyles>
  <colors>
    <mruColors>
      <color rgb="FFE4E9F4"/>
      <color rgb="FFFFE7D9"/>
      <color rgb="FFBFBFBF"/>
      <color rgb="FFEAEAEA"/>
      <color rgb="FFE5FEFF"/>
      <color rgb="FFD3FEFF"/>
      <color rgb="FFE7F0F9"/>
      <color rgb="FFE7F9F1"/>
      <color rgb="FFF2F7FC"/>
      <color rgb="FFEDF0F7"/>
    </mruColors>
  </colors>
  <extLst>
    <ext xmlns:x14="http://schemas.microsoft.com/office/spreadsheetml/2009/9/main" uri="{46F421CA-312F-682f-3DD2-61675219B42D}">
      <x14:dxfs count="114">
        <dxf>
          <fill>
            <patternFill>
              <bgColor theme="3" tint="0.89996032593768116"/>
            </patternFill>
          </fill>
        </dxf>
        <dxf>
          <fill>
            <patternFill>
              <bgColor theme="3" tint="0.749961851863155"/>
            </patternFill>
          </fill>
          <border>
            <left style="thin">
              <color theme="3" tint="0.499984740745262"/>
            </left>
            <right style="thin">
              <color theme="3" tint="0.499984740745262"/>
            </right>
            <top style="thin">
              <color theme="3" tint="0.499984740745262"/>
            </top>
            <bottom style="thin">
              <color theme="3" tint="0.499984740745262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39994506668294322"/>
              <bgColor theme="9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sz val="12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2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2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2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2"/>
            <color rgb="FF828282"/>
          </font>
          <fill>
            <patternFill patternType="solid">
              <fgColor theme="3" tint="0.89989928891872917"/>
              <bgColor rgb="FFF2F7FC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sz val="14"/>
            <color rgb="FF000000"/>
          </font>
          <fill>
            <patternFill patternType="solid">
              <fgColor theme="3" tint="0.89992980742820516"/>
              <bgColor theme="3" tint="0.89996032593768116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2"/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sz val="12"/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3" tint="0.89989928891872917"/>
              <bgColor rgb="FFF2F7FC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3" tint="0.89992980742820516"/>
              <bgColor theme="3" tint="0.89996032593768116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5117038483843"/>
              <bgColor rgb="FFEEF5FC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3" tint="0.89996032593768116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5117038483843"/>
              <bgColor rgb="FFEEF5FC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3" tint="0.89996032593768116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5117038483843"/>
              <bgColor rgb="FFEEF5FC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3" tint="0.89996032593768116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5117038483843"/>
              <bgColor rgb="FFEEF5FC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3" tint="0.89996032593768116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3" tint="0.89996032593768116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3" tint="0.74996185186315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2 3 2">
        <x14:slicerStyle name="SlicerStyleDark1 2">
          <x14:slicerStyleElements>
            <x14:slicerStyleElement type="unselectedItemWithData" dxfId="113"/>
            <x14:slicerStyleElement type="unselectedItemWithNoData" dxfId="112"/>
            <x14:slicerStyleElement type="selectedItemWithData" dxfId="111"/>
            <x14:slicerStyleElement type="selectedItemWithNoData" dxfId="110"/>
            <x14:slicerStyleElement type="hoveredUnselectedItemWithData" dxfId="109"/>
            <x14:slicerStyleElement type="hoveredSelectedItemWithData" dxfId="108"/>
            <x14:slicerStyleElement type="hoveredUnselectedItemWithNoData" dxfId="107"/>
            <x14:slicerStyleElement type="hoveredSelectedItemWithNoData" dxfId="106"/>
          </x14:slicerStyleElements>
        </x14:slicerStyle>
        <x14:slicerStyle name="SlicerStyleLight1 2">
          <x14:slicerStyleElements>
            <x14:slicerStyleElement type="unselectedItemWithData" dxfId="105"/>
            <x14:slicerStyleElement type="unselectedItemWithNoData" dxfId="104"/>
            <x14:slicerStyleElement type="selectedItemWithData" dxfId="103"/>
            <x14:slicerStyleElement type="selectedItemWithNoData" dxfId="102"/>
            <x14:slicerStyleElement type="hoveredUnselectedItemWithData" dxfId="101"/>
            <x14:slicerStyleElement type="hoveredSelectedItemWithData" dxfId="100"/>
            <x14:slicerStyleElement type="hoveredUnselectedItemWithNoData" dxfId="99"/>
            <x14:slicerStyleElement type="hoveredSelectedItemWithNoData" dxfId="98"/>
          </x14:slicerStyleElements>
        </x14:slicerStyle>
        <x14:slicerStyle name="SlicerStyleLight1 3">
          <x14:slicerStyleElements>
            <x14:slicerStyleElement type="unselectedItemWithData" dxfId="97"/>
            <x14:slicerStyleElement type="unselectedItemWithNoData" dxfId="96"/>
            <x14:slicerStyleElement type="selectedItemWithData" dxfId="95"/>
            <x14:slicerStyleElement type="selectedItemWithNoData" dxfId="94"/>
            <x14:slicerStyleElement type="hoveredUnselectedItemWithData" dxfId="93"/>
            <x14:slicerStyleElement type="hoveredSelectedItemWithData" dxfId="92"/>
            <x14:slicerStyleElement type="hoveredUnselectedItemWithNoData" dxfId="91"/>
            <x14:slicerStyleElement type="hoveredSelectedItemWithNoData" dxfId="90"/>
          </x14:slicerStyleElements>
        </x14:slicerStyle>
        <x14:slicerStyle name="SlicerStyleLight2 2">
          <x14:slicerStyleElements>
            <x14:slicerStyleElement type="unselectedItemWithData" dxfId="89"/>
            <x14:slicerStyleElement type="unselectedItemWithNoData" dxfId="88"/>
            <x14:slicerStyleElement type="selectedItemWithData" dxfId="87"/>
            <x14:slicerStyleElement type="selectedItemWithNoData" dxfId="86"/>
            <x14:slicerStyleElement type="hoveredUnselectedItemWithData" dxfId="85"/>
            <x14:slicerStyleElement type="hoveredSelectedItemWithData" dxfId="84"/>
            <x14:slicerStyleElement type="hoveredUnselectedItemWithNoData" dxfId="83"/>
            <x14:slicerStyleElement type="hoveredSelectedItemWithNoData" dxfId="82"/>
          </x14:slicerStyleElements>
        </x14:slicerStyle>
        <x14:slicerStyle name="SlicerStyleLight2 3">
          <x14:slicerStyleElements>
            <x14:slicerStyleElement type="unselectedItemWithData" dxfId="81"/>
            <x14:slicerStyleElement type="unselectedItemWithNoData" dxfId="80"/>
            <x14:slicerStyleElement type="selectedItemWithData" dxfId="79"/>
            <x14:slicerStyleElement type="selectedItemWithNoData" dxfId="78"/>
            <x14:slicerStyleElement type="hoveredUnselectedItemWithData" dxfId="77"/>
            <x14:slicerStyleElement type="hoveredSelectedItemWithData" dxfId="76"/>
            <x14:slicerStyleElement type="hoveredUnselectedItemWithNoData" dxfId="75"/>
            <x14:slicerStyleElement type="hoveredSelectedItemWithNoData" dxfId="74"/>
          </x14:slicerStyleElements>
        </x14:slicerStyle>
        <x14:slicerStyle name="SlicerStyleLight2 3 2">
          <x14:slicerStyleElements>
            <x14:slicerStyleElement type="unselectedItemWithData" dxfId="73"/>
            <x14:slicerStyleElement type="unselectedItemWithNoData" dxfId="72"/>
            <x14:slicerStyleElement type="selectedItemWithData" dxfId="71"/>
            <x14:slicerStyleElement type="selectedItemWithNoData" dxfId="70"/>
            <x14:slicerStyleElement type="hoveredUnselectedItemWithData" dxfId="69"/>
            <x14:slicerStyleElement type="hoveredSelectedItemWithData" dxfId="68"/>
            <x14:slicerStyleElement type="hoveredUnselectedItemWithNoData" dxfId="67"/>
            <x14:slicerStyleElement type="hoveredSelectedItemWithNoData" dxfId="66"/>
          </x14:slicerStyleElements>
        </x14:slicerStyle>
        <x14:slicerStyle name="SlicerStyleLight2 3 2 2">
          <x14:slicerStyleElements>
            <x14:slicerStyleElement type="unselectedItemWithData" dxfId="65"/>
            <x14:slicerStyleElement type="unselectedItemWithNoData" dxfId="64"/>
            <x14:slicerStyleElement type="selectedItemWithData" dxfId="63"/>
            <x14:slicerStyleElement type="selectedItemWithNoData" dxfId="62"/>
            <x14:slicerStyleElement type="hoveredUnselectedItemWithData" dxfId="61"/>
            <x14:slicerStyleElement type="hoveredSelectedItemWithData" dxfId="60"/>
            <x14:slicerStyleElement type="hoveredUnselectedItemWithNoData" dxfId="59"/>
            <x14:slicerStyleElement type="hoveredSelectedItemWithNoData" dxfId="58"/>
          </x14:slicerStyleElements>
        </x14:slicerStyle>
        <x14:slicerStyle name="SlicerStyleLight2 3 2 2 2">
          <x14:slicerStyleElements>
            <x14:slicerStyleElement type="unselectedItemWithData" dxfId="57"/>
            <x14:slicerStyleElement type="unselectedItemWithNoData" dxfId="56"/>
            <x14:slicerStyleElement type="selectedItemWithData" dxfId="55"/>
            <x14:slicerStyleElement type="selectedItemWithNoData" dxfId="54"/>
            <x14:slicerStyleElement type="hoveredUnselectedItemWithData" dxfId="53"/>
            <x14:slicerStyleElement type="hoveredSelectedItemWithData" dxfId="52"/>
            <x14:slicerStyleElement type="hoveredUnselectedItemWithNoData" dxfId="51"/>
            <x14:slicerStyleElement type="hoveredSelectedItemWithNoData" dxfId="50"/>
          </x14:slicerStyleElements>
        </x14:slicerStyle>
        <x14:slicerStyle name="SlicerStyleLight2 3 2 2 3">
          <x14:slicerStyleElements>
            <x14:slicerStyleElement type="unselectedItemWithData" dxfId="49"/>
            <x14:slicerStyleElement type="unselectedItemWithNoData" dxfId="48"/>
            <x14:slicerStyleElement type="selectedItemWithData" dxfId="47"/>
            <x14:slicerStyleElement type="selectedItemWithNoData" dxfId="46"/>
            <x14:slicerStyleElement type="hoveredUnselectedItemWithData" dxfId="45"/>
            <x14:slicerStyleElement type="hoveredSelectedItemWithData" dxfId="44"/>
            <x14:slicerStyleElement type="hoveredUnselectedItemWithNoData" dxfId="43"/>
            <x14:slicerStyleElement type="hoveredSelectedItemWithNoData" dxfId="42"/>
          </x14:slicerStyleElements>
        </x14:slicerStyle>
        <x14:slicerStyle name="SlicerStyleLight2 3 2 3">
          <x14:slicerStyleElements>
            <x14:slicerStyleElement type="unselectedItemWithData" dxfId="41"/>
            <x14:slicerStyleElement type="unselectedItemWithNoData" dxfId="40"/>
            <x14:slicerStyleElement type="selectedItemWithData" dxfId="39"/>
            <x14:slicerStyleElement type="selectedItemWithNoData" dxfId="38"/>
            <x14:slicerStyleElement type="hoveredUnselectedItemWithData" dxfId="37"/>
            <x14:slicerStyleElement type="hoveredSelectedItemWithData" dxfId="36"/>
            <x14:slicerStyleElement type="hoveredUnselectedItemWithNoData" dxfId="35"/>
            <x14:slicerStyleElement type="hoveredSelectedItemWithNoData" dxfId="34"/>
          </x14:slicerStyleElements>
        </x14:slicerStyle>
        <x14:slicerStyle name="SlicerStyleLight6 2">
          <x14:slicerStyleElements>
            <x14:slicerStyleElement type="unselectedItemWithData" dxfId="33"/>
            <x14:slicerStyleElement type="unselectedItemWithNoData" dxfId="32"/>
            <x14:slicerStyleElement type="selectedItemWithData" dxfId="31"/>
            <x14:slicerStyleElement type="selectedItemWithNoData" dxfId="30"/>
            <x14:slicerStyleElement type="hoveredUnselectedItemWithData" dxfId="29"/>
            <x14:slicerStyleElement type="hoveredSelectedItemWithData" dxfId="28"/>
            <x14:slicerStyleElement type="hoveredUnselectedItemWithNoData" dxfId="27"/>
            <x14:slicerStyleElement type="hoveredSelectedItemWithNoData" dxfId="26"/>
          </x14:slicerStyleElements>
        </x14:slicerStyle>
        <x14:slicerStyle name="SlicerStyleLight6 2 3">
          <x14:slicerStyleElements>
            <x14:slicerStyleElement type="unselectedItemWithData" dxfId="25"/>
            <x14:slicerStyleElement type="unselectedItemWithNoData" dxfId="24"/>
            <x14:slicerStyleElement type="selectedItemWithData" dxfId="23"/>
            <x14:slicerStyleElement type="selectedItemWithNoData" dxfId="22"/>
            <x14:slicerStyleElement type="hoveredUnselectedItemWithData" dxfId="21"/>
            <x14:slicerStyleElement type="hoveredSelectedItemWithData" dxfId="20"/>
            <x14:slicerStyleElement type="hoveredUnselectedItemWithNoData" dxfId="19"/>
            <x14:slicerStyleElement type="hoveredSelectedItemWithNoData" dxfId="18"/>
          </x14:slicerStyleElements>
        </x14:slicerStyle>
        <x14:slicerStyle name="SlicerStyleLight6 2 3 2">
          <x14:slicerStyleElements>
            <x14:slicerStyleElement type="unselectedItemWithData" dxfId="17"/>
            <x14:slicerStyleElement type="unselectedItemWithNoData" dxfId="16"/>
            <x14:slicerStyleElement type="selectedItemWithData" dxfId="15"/>
            <x14:slicerStyleElement type="selectedItemWithNoData" dxfId="14"/>
            <x14:slicerStyleElement type="hoveredUnselectedItemWithData" dxfId="13"/>
            <x14:slicerStyleElement type="hoveredSelectedItemWithData" dxfId="12"/>
            <x14:slicerStyleElement type="hoveredUnselectedItemWithNoData" dxfId="11"/>
            <x14:slicerStyleElement type="hoveredSelectedItemWithNoData" dxfId="10"/>
          </x14:slicerStyleElements>
        </x14:slicerStyle>
        <x14:slicerStyle name="SlicerStyleLight6 3">
          <x14:slicerStyleElements>
            <x14:slicerStyleElement type="unselectedItemWithData" dxfId="9"/>
            <x14:slicerStyleElement type="unselectedItemWithNoData" dxfId="8"/>
            <x14:slicerStyleElement type="selectedItemWithData" dxfId="7"/>
            <x14:slicerStyleElement type="selectedItemWithNoData" dxfId="6"/>
            <x14:slicerStyleElement type="hoveredUnselectedItemWithData" dxfId="5"/>
            <x14:slicerStyleElement type="hoveredSelectedItemWithData" dxfId="4"/>
            <x14:slicerStyleElement type="hoveredUnselectedItemWithNoData" dxfId="3"/>
            <x14:slicerStyleElement type="hoveredSelectedItemWithNoData" dxfId="2"/>
          </x14:slicerStyleElements>
        </x14:slicerStyle>
        <x14:slicerStyle name="슬라이서 스타일 1">
          <x14:slicerStyleElements>
            <x14:slicerStyleElement type="selectedItemWithData" dxfId="1"/>
            <x14:slicerStyleElement type="selectedItemWithNoData" dxfId="0"/>
          </x14:slicerStyleElements>
        </x14:slicerStyle>
        <x14:slicerStyle name="슬라이서 스타일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07/relationships/slicerCache" Target="slicerCaches/slicerCache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2.xml"/><Relationship Id="rId17" Type="http://schemas.microsoft.com/office/2007/relationships/slicerCache" Target="slicerCaches/slicerCache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5.xml"/><Relationship Id="rId10" Type="http://schemas.openxmlformats.org/officeDocument/2006/relationships/pivotCacheDefinition" Target="pivotCache/pivotCacheDefinition4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피벗!$O$3</c:f>
              <c:strCache>
                <c:ptCount val="1"/>
                <c:pt idx="0">
                  <c:v>업무</c:v>
                </c:pt>
              </c:strCache>
            </c:strRef>
          </c:tx>
          <c:spPr>
            <a:pattFill prst="dkDnDiag">
              <a:fgClr>
                <a:srgbClr val="D65532"/>
              </a:fgClr>
              <a:bgClr>
                <a:schemeClr val="bg1"/>
              </a:bgClr>
            </a:patt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dkDnDiag">
                <a:fgClr>
                  <a:srgbClr val="D65532"/>
                </a:fgClr>
                <a:bgClr>
                  <a:schemeClr val="bg1"/>
                </a:bgClr>
              </a:pattFill>
              <a:ln>
                <a:solidFill>
                  <a:srgbClr val="E18369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9167-4E15-A477-5B64FE8CC392}"/>
              </c:ext>
            </c:extLst>
          </c:dPt>
          <c:dPt>
            <c:idx val="1"/>
            <c:invertIfNegative val="0"/>
            <c:bubble3D val="0"/>
            <c:spPr>
              <a:pattFill prst="dkDnDiag">
                <a:fgClr>
                  <a:srgbClr val="EAC282"/>
                </a:fgClr>
                <a:bgClr>
                  <a:schemeClr val="bg1"/>
                </a:bgClr>
              </a:patt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67-4E15-A477-5B64FE8CC392}"/>
              </c:ext>
            </c:extLst>
          </c:dPt>
          <c:dPt>
            <c:idx val="2"/>
            <c:invertIfNegative val="0"/>
            <c:bubble3D val="0"/>
            <c:spPr>
              <a:pattFill prst="dkDnDiag">
                <a:fgClr>
                  <a:srgbClr val="68A490"/>
                </a:fgClr>
                <a:bgClr>
                  <a:schemeClr val="bg1"/>
                </a:bgClr>
              </a:pattFill>
              <a:ln>
                <a:solidFill>
                  <a:schemeClr val="accent2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167-4E15-A477-5B64FE8CC39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52BBE0E-2EAA-4C0C-AB1F-933A33A7DD2A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350989905274141"/>
                      <c:h val="0.2219889502762431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9167-4E15-A477-5B64FE8CC39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E8EAD4D-90A4-4F88-A85D-EC3E4BFB30D8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88884402642239"/>
                      <c:h val="0.2219889502762431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167-4E15-A477-5B64FE8CC39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BFBB9AA-FA5D-4845-9E01-2BE821384BD9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311717635635857"/>
                      <c:h val="0.2219889502762431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167-4E15-A477-5B64FE8CC3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피벗!$N$4:$N$7</c15:sqref>
                  </c15:fullRef>
                </c:ext>
              </c:extLst>
              <c:f>피벗!$N$4:$N$6</c:f>
              <c:strCache>
                <c:ptCount val="3"/>
                <c:pt idx="0">
                  <c:v>높음</c:v>
                </c:pt>
                <c:pt idx="1">
                  <c:v>중간</c:v>
                </c:pt>
                <c:pt idx="2">
                  <c:v>낮음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피벗!$O$4:$O$7</c15:sqref>
                  </c15:fullRef>
                </c:ext>
              </c:extLst>
              <c:f>피벗!$O$4:$O$6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피벗!$Q$4:$Q$7</c15:f>
                <c15:dlblRangeCache>
                  <c:ptCount val="4"/>
                  <c:pt idx="0">
                    <c:v>1 / 3</c:v>
                  </c:pt>
                  <c:pt idx="1">
                    <c:v>1 / 3</c:v>
                  </c:pt>
                  <c:pt idx="2">
                    <c:v>1 / 4</c:v>
                  </c:pt>
                </c15:dlblRangeCache>
              </c15:datalabelsRange>
            </c:ext>
            <c:ext xmlns:c15="http://schemas.microsoft.com/office/drawing/2012/chart" uri="{02D57815-91ED-43cb-92C2-25804820EDAC}">
              <c15:categoryFilterExceptions>
                <c15:categoryFilterException>
                  <c15:sqref>피벗!$O$7</c15:sqref>
                  <c15:spPr xmlns:c15="http://schemas.microsoft.com/office/drawing/2012/chart">
                    <a:pattFill prst="dkDnDiag">
                      <a:fgClr>
                        <a:schemeClr val="bg1">
                          <a:lumMod val="85000"/>
                        </a:schemeClr>
                      </a:fgClr>
                      <a:bgClr>
                        <a:schemeClr val="bg1"/>
                      </a:bgClr>
                    </a:pattFill>
                    <a:ln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9167-4E15-A477-5B64FE8CC392}"/>
            </c:ext>
          </c:extLst>
        </c:ser>
        <c:ser>
          <c:idx val="1"/>
          <c:order val="1"/>
          <c:tx>
            <c:strRef>
              <c:f>피벗!$P$3</c:f>
              <c:strCache>
                <c:ptCount val="1"/>
                <c:pt idx="0">
                  <c:v>완료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9A28F"/>
              </a:solidFill>
              <a:ln>
                <a:solidFill>
                  <a:srgbClr val="E18369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CBF4-48BB-98C5-41B5E3D4D00F}"/>
              </c:ext>
            </c:extLst>
          </c:dPt>
          <c:dPt>
            <c:idx val="1"/>
            <c:invertIfNegative val="0"/>
            <c:bubble3D val="0"/>
            <c:spPr>
              <a:solidFill>
                <a:srgbClr val="F4EABA"/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F4-48BB-98C5-41B5E3D4D00F}"/>
              </c:ext>
            </c:extLst>
          </c:dPt>
          <c:dPt>
            <c:idx val="2"/>
            <c:invertIfNegative val="0"/>
            <c:bubble3D val="0"/>
            <c:spPr>
              <a:solidFill>
                <a:srgbClr val="A4D8B4"/>
              </a:solidFill>
              <a:ln>
                <a:solidFill>
                  <a:schemeClr val="accent2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BF4-48BB-98C5-41B5E3D4D00F}"/>
              </c:ext>
            </c:extLst>
          </c:dPt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피벗!$N$4:$N$7</c15:sqref>
                  </c15:fullRef>
                </c:ext>
              </c:extLst>
              <c:f>피벗!$N$4:$N$6</c:f>
              <c:strCache>
                <c:ptCount val="3"/>
                <c:pt idx="0">
                  <c:v>높음</c:v>
                </c:pt>
                <c:pt idx="1">
                  <c:v>중간</c:v>
                </c:pt>
                <c:pt idx="2">
                  <c:v>낮음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피벗!$P$4:$P$7</c15:sqref>
                  </c15:fullRef>
                </c:ext>
              </c:extLst>
              <c:f>피벗!$P$4:$P$6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피벗!$P$7</c15:sqref>
                  <c15:spPr xmlns:c15="http://schemas.microsoft.com/office/drawing/2012/chart">
                    <a:solidFill>
                      <a:schemeClr val="bg1">
                        <a:lumMod val="85000"/>
                      </a:schemeClr>
                    </a:solidFill>
                    <a:ln>
                      <a:solidFill>
                        <a:schemeClr val="tx1"/>
                      </a:solidFill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5-9167-4E15-A477-5B64FE8CC3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338995919"/>
        <c:axId val="1339000719"/>
      </c:barChart>
      <c:catAx>
        <c:axId val="133899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39000719"/>
        <c:crosses val="autoZero"/>
        <c:auto val="1"/>
        <c:lblAlgn val="ctr"/>
        <c:lblOffset val="100"/>
        <c:noMultiLvlLbl val="0"/>
      </c:catAx>
      <c:valAx>
        <c:axId val="13390007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3899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137-465C-BAE1-665B33DF6B84}"/>
              </c:ext>
            </c:extLst>
          </c:dPt>
          <c:cat>
            <c:numRef>
              <c:f>피벗!$K$3</c:f>
              <c:numCache>
                <c:formatCode>General</c:formatCode>
                <c:ptCount val="1"/>
                <c:pt idx="0">
                  <c:v>10</c:v>
                </c:pt>
              </c:numCache>
            </c:numRef>
          </c:cat>
          <c:val>
            <c:numRef>
              <c:f>피벗!$K$4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7-465C-BAE1-665B33DF6B8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137-465C-BAE1-665B33DF6B84}"/>
              </c:ext>
            </c:extLst>
          </c:dPt>
          <c:cat>
            <c:numRef>
              <c:f>피벗!$K$3</c:f>
              <c:numCache>
                <c:formatCode>General</c:formatCode>
                <c:ptCount val="1"/>
                <c:pt idx="0">
                  <c:v>10</c:v>
                </c:pt>
              </c:numCache>
            </c:numRef>
          </c:cat>
          <c:val>
            <c:numRef>
              <c:f>피벗!$K$5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37-465C-BAE1-665B33DF6B8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137-465C-BAE1-665B33DF6B84}"/>
              </c:ext>
            </c:extLst>
          </c:dPt>
          <c:cat>
            <c:numRef>
              <c:f>피벗!$K$3</c:f>
              <c:numCache>
                <c:formatCode>General</c:formatCode>
                <c:ptCount val="1"/>
                <c:pt idx="0">
                  <c:v>10</c:v>
                </c:pt>
              </c:numCache>
            </c:numRef>
          </c:cat>
          <c:val>
            <c:numRef>
              <c:f>피벗!$K$6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37-465C-BAE1-665B33DF6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041843248"/>
        <c:axId val="1041842288"/>
      </c:barChart>
      <c:catAx>
        <c:axId val="1041843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41842288"/>
        <c:crosses val="autoZero"/>
        <c:auto val="1"/>
        <c:lblAlgn val="ctr"/>
        <c:lblOffset val="100"/>
        <c:noMultiLvlLbl val="0"/>
      </c:catAx>
      <c:valAx>
        <c:axId val="104184228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041843248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CD-4463-9B16-EC9FB00F537C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CD-4463-9B16-EC9FB00F537C}"/>
              </c:ext>
            </c:extLst>
          </c:dPt>
          <c:cat>
            <c:strRef>
              <c:f>피벗!$O$10:$P$10</c:f>
              <c:strCache>
                <c:ptCount val="2"/>
                <c:pt idx="0">
                  <c:v>완료율</c:v>
                </c:pt>
                <c:pt idx="1">
                  <c:v>남은퍼센트</c:v>
                </c:pt>
              </c:strCache>
            </c:strRef>
          </c:cat>
          <c:val>
            <c:numRef>
              <c:f>피벗!$O$11:$P$11</c:f>
              <c:numCache>
                <c:formatCode>0%</c:formatCode>
                <c:ptCount val="2"/>
                <c:pt idx="0">
                  <c:v>0.3</c:v>
                </c:pt>
                <c:pt idx="1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CD-4463-9B16-EC9FB00F5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피벗!$T$3" max="30000" page="10" val="2026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jp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268185</xdr:colOff>
      <xdr:row>2</xdr:row>
      <xdr:rowOff>87103</xdr:rowOff>
    </xdr:from>
    <xdr:to>
      <xdr:col>3</xdr:col>
      <xdr:colOff>1245691</xdr:colOff>
      <xdr:row>4</xdr:row>
      <xdr:rowOff>350421</xdr:rowOff>
    </xdr:to>
    <xdr:sp macro="" textlink="피벗!T4" fLocksText="0">
      <xdr:nvSpPr>
        <xdr:cNvPr id="3" name="TextBox 2">
          <a:extLst>
            <a:ext uri="{FF2B5EF4-FFF2-40B4-BE49-F238E27FC236}">
              <a16:creationId xmlns:a16="http://schemas.microsoft.com/office/drawing/2014/main" id="{07770491-4DC5-400E-810A-CC09B4C8DBF5}"/>
            </a:ext>
          </a:extLst>
        </xdr:cNvPr>
        <xdr:cNvSpPr txBox="1"/>
      </xdr:nvSpPr>
      <xdr:spPr>
        <a:xfrm>
          <a:off x="268185" y="618194"/>
          <a:ext cx="1912688" cy="7944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404421CF-E42A-4BA5-AD0E-D61EA253F2D5}" type="TxLink">
            <a:rPr lang="en-US" altLang="en-US" sz="3600" b="1" i="0" u="none" strike="noStrike">
              <a:solidFill>
                <a:srgbClr val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pPr algn="l"/>
            <a:t>2026년</a:t>
          </a:fld>
          <a:endParaRPr lang="ko-KR" altLang="en-US" sz="3600" b="1"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 fLocksWithSheet="0"/>
  </xdr:twoCellAnchor>
  <xdr:twoCellAnchor editAs="absolute">
    <xdr:from>
      <xdr:col>3</xdr:col>
      <xdr:colOff>1034025</xdr:colOff>
      <xdr:row>2</xdr:row>
      <xdr:rowOff>70267</xdr:rowOff>
    </xdr:from>
    <xdr:to>
      <xdr:col>7</xdr:col>
      <xdr:colOff>22381</xdr:colOff>
      <xdr:row>4</xdr:row>
      <xdr:rowOff>361562</xdr:rowOff>
    </xdr:to>
    <xdr:sp macro="" textlink="피벗!U4" fLocksText="0">
      <xdr:nvSpPr>
        <xdr:cNvPr id="4" name="TextBox 3">
          <a:extLst>
            <a:ext uri="{FF2B5EF4-FFF2-40B4-BE49-F238E27FC236}">
              <a16:creationId xmlns:a16="http://schemas.microsoft.com/office/drawing/2014/main" id="{9F8D8F3C-52E4-4FFC-905C-BA1883B52DB4}"/>
            </a:ext>
          </a:extLst>
        </xdr:cNvPr>
        <xdr:cNvSpPr txBox="1"/>
      </xdr:nvSpPr>
      <xdr:spPr>
        <a:xfrm>
          <a:off x="1969207" y="601358"/>
          <a:ext cx="2567447" cy="8223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01770276-3911-4847-B285-7BEF2C4F339E}" type="TxLink">
            <a:rPr lang="en-US" altLang="en-US" sz="3600" b="1" i="0" u="none" strike="noStrike">
              <a:solidFill>
                <a:srgbClr val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pPr algn="l"/>
            <a:t>9월</a:t>
          </a:fld>
          <a:endParaRPr lang="ko-KR" altLang="en-US" sz="3600" b="1"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 fLocksWithSheet="0"/>
  </xdr:twoCellAnchor>
  <xdr:twoCellAnchor>
    <xdr:from>
      <xdr:col>1</xdr:col>
      <xdr:colOff>1638</xdr:colOff>
      <xdr:row>4</xdr:row>
      <xdr:rowOff>399603</xdr:rowOff>
    </xdr:from>
    <xdr:to>
      <xdr:col>29</xdr:col>
      <xdr:colOff>6350</xdr:colOff>
      <xdr:row>56</xdr:row>
      <xdr:rowOff>34637</xdr:rowOff>
    </xdr:to>
    <xdr:sp macro="" textlink="">
      <xdr:nvSpPr>
        <xdr:cNvPr id="36" name="사각형: 둥근 모서리 35">
          <a:extLst>
            <a:ext uri="{FF2B5EF4-FFF2-40B4-BE49-F238E27FC236}">
              <a16:creationId xmlns:a16="http://schemas.microsoft.com/office/drawing/2014/main" id="{75B7A9C0-C204-A220-5A48-932EC8715D1D}"/>
            </a:ext>
          </a:extLst>
        </xdr:cNvPr>
        <xdr:cNvSpPr/>
      </xdr:nvSpPr>
      <xdr:spPr>
        <a:xfrm>
          <a:off x="209456" y="1461785"/>
          <a:ext cx="25381621" cy="12958488"/>
        </a:xfrm>
        <a:prstGeom prst="roundRect">
          <a:avLst>
            <a:gd name="adj" fmla="val 0"/>
          </a:avLst>
        </a:prstGeom>
        <a:noFill/>
        <a:ln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absolute">
    <xdr:from>
      <xdr:col>11</xdr:col>
      <xdr:colOff>930272</xdr:colOff>
      <xdr:row>0</xdr:row>
      <xdr:rowOff>167244</xdr:rowOff>
    </xdr:from>
    <xdr:to>
      <xdr:col>19</xdr:col>
      <xdr:colOff>1207045</xdr:colOff>
      <xdr:row>3</xdr:row>
      <xdr:rowOff>117421</xdr:rowOff>
    </xdr:to>
    <xdr:sp macro="" textlink="" fLocksText="0">
      <xdr:nvSpPr>
        <xdr:cNvPr id="37" name="TextBox 36">
          <a:extLst>
            <a:ext uri="{FF2B5EF4-FFF2-40B4-BE49-F238E27FC236}">
              <a16:creationId xmlns:a16="http://schemas.microsoft.com/office/drawing/2014/main" id="{EBB67228-5921-463D-8E6C-EB48EAEBEDB9}"/>
            </a:ext>
          </a:extLst>
        </xdr:cNvPr>
        <xdr:cNvSpPr txBox="1"/>
      </xdr:nvSpPr>
      <xdr:spPr>
        <a:xfrm>
          <a:off x="9023636" y="167244"/>
          <a:ext cx="7434954" cy="7468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en-US" sz="5400" b="1" i="0" u="none" strike="noStrike">
              <a:solidFill>
                <a:srgbClr val="000000"/>
              </a:solidFill>
              <a:latin typeface="Franklin Gothic Heavy" panose="020B0903020102020204" pitchFamily="34" charset="0"/>
              <a:ea typeface="Gadugi" panose="020B0502040204020203" pitchFamily="34" charset="0"/>
              <a:cs typeface="Calibri" panose="020F0502020204030204" pitchFamily="34" charset="0"/>
            </a:rPr>
            <a:t>Monthly</a:t>
          </a:r>
          <a:r>
            <a:rPr lang="en-US" altLang="en-US" sz="5400" b="1" i="0" u="none" strike="noStrike" baseline="0">
              <a:solidFill>
                <a:srgbClr val="000000"/>
              </a:solidFill>
              <a:latin typeface="Franklin Gothic Heavy" panose="020B0903020102020204" pitchFamily="34" charset="0"/>
              <a:ea typeface="Gadugi" panose="020B0502040204020203" pitchFamily="34" charset="0"/>
              <a:cs typeface="Calibri" panose="020F0502020204030204" pitchFamily="34" charset="0"/>
            </a:rPr>
            <a:t> Planner</a:t>
          </a:r>
          <a:endParaRPr lang="en-US" altLang="en-US" sz="5400" b="1" i="0" u="none" strike="noStrike">
            <a:solidFill>
              <a:srgbClr val="000000"/>
            </a:solidFill>
            <a:latin typeface="Franklin Gothic Heavy" panose="020B0903020102020204" pitchFamily="34" charset="0"/>
            <a:ea typeface="Gadugi" panose="020B0502040204020203" pitchFamily="34" charset="0"/>
            <a:cs typeface="Calibri" panose="020F0502020204030204" pitchFamily="34" charset="0"/>
          </a:endParaRPr>
        </a:p>
      </xdr:txBody>
    </xdr:sp>
    <xdr:clientData fLocksWithSheet="0"/>
  </xdr:twoCellAnchor>
  <xdr:twoCellAnchor editAs="absolute">
    <xdr:from>
      <xdr:col>11</xdr:col>
      <xdr:colOff>1370672</xdr:colOff>
      <xdr:row>2</xdr:row>
      <xdr:rowOff>258103</xdr:rowOff>
    </xdr:from>
    <xdr:to>
      <xdr:col>19</xdr:col>
      <xdr:colOff>816897</xdr:colOff>
      <xdr:row>5</xdr:row>
      <xdr:rowOff>20539</xdr:rowOff>
    </xdr:to>
    <xdr:sp macro="" textlink="" fLocksText="0">
      <xdr:nvSpPr>
        <xdr:cNvPr id="38" name="TextBox 37">
          <a:extLst>
            <a:ext uri="{FF2B5EF4-FFF2-40B4-BE49-F238E27FC236}">
              <a16:creationId xmlns:a16="http://schemas.microsoft.com/office/drawing/2014/main" id="{0859A0B4-CA41-4602-93E7-EB2B95FE1536}"/>
            </a:ext>
          </a:extLst>
        </xdr:cNvPr>
        <xdr:cNvSpPr txBox="1"/>
      </xdr:nvSpPr>
      <xdr:spPr>
        <a:xfrm>
          <a:off x="9464036" y="789194"/>
          <a:ext cx="6604406" cy="6976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en-US" sz="24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Javanese Text" panose="02000000000000000000" pitchFamily="2" charset="0"/>
              <a:ea typeface="Calibri Light" panose="020F0302020204030204" pitchFamily="34" charset="0"/>
              <a:cs typeface="Calibri Light" panose="020F0302020204030204" pitchFamily="34" charset="0"/>
            </a:rPr>
            <a:t>"Plan your month, live your dream"</a:t>
          </a:r>
        </a:p>
      </xdr:txBody>
    </xdr:sp>
    <xdr:clientData fLocksWithSheet="0"/>
  </xdr:twoCellAnchor>
  <xdr:twoCellAnchor editAs="oneCell">
    <xdr:from>
      <xdr:col>37</xdr:col>
      <xdr:colOff>20384</xdr:colOff>
      <xdr:row>4</xdr:row>
      <xdr:rowOff>246566</xdr:rowOff>
    </xdr:from>
    <xdr:to>
      <xdr:col>40</xdr:col>
      <xdr:colOff>2187</xdr:colOff>
      <xdr:row>6</xdr:row>
      <xdr:rowOff>177758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8C213BA2-803F-1A8A-C282-1EB7C74CC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11384" y="1308748"/>
          <a:ext cx="670407" cy="670101"/>
        </a:xfrm>
        <a:prstGeom prst="rect">
          <a:avLst/>
        </a:prstGeom>
      </xdr:spPr>
    </xdr:pic>
    <xdr:clientData fLocksWithSheet="0"/>
  </xdr:twoCellAnchor>
  <xdr:twoCellAnchor editAs="absolute">
    <xdr:from>
      <xdr:col>29</xdr:col>
      <xdr:colOff>307548</xdr:colOff>
      <xdr:row>4</xdr:row>
      <xdr:rowOff>390071</xdr:rowOff>
    </xdr:from>
    <xdr:to>
      <xdr:col>33</xdr:col>
      <xdr:colOff>281982</xdr:colOff>
      <xdr:row>24</xdr:row>
      <xdr:rowOff>257165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F2B6BD31-C138-7609-3E99-473CE13630B6}"/>
            </a:ext>
          </a:extLst>
        </xdr:cNvPr>
        <xdr:cNvGrpSpPr/>
      </xdr:nvGrpSpPr>
      <xdr:grpSpPr>
        <a:xfrm>
          <a:off x="25684457" y="1452253"/>
          <a:ext cx="2953161" cy="5281912"/>
          <a:chOff x="25442003" y="1452253"/>
          <a:chExt cx="2953161" cy="5281912"/>
        </a:xfrm>
      </xdr:grpSpPr>
      <xdr:sp macro="" textlink="" fLocksText="0">
        <xdr:nvSpPr>
          <xdr:cNvPr id="6" name="직사각형 5">
            <a:extLst>
              <a:ext uri="{FF2B5EF4-FFF2-40B4-BE49-F238E27FC236}">
                <a16:creationId xmlns:a16="http://schemas.microsoft.com/office/drawing/2014/main" id="{74AB2A16-34D4-92A2-83D8-CD110C7B4028}"/>
              </a:ext>
            </a:extLst>
          </xdr:cNvPr>
          <xdr:cNvSpPr/>
        </xdr:nvSpPr>
        <xdr:spPr>
          <a:xfrm>
            <a:off x="25442003" y="1452253"/>
            <a:ext cx="2953161" cy="5281912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" name="월">
                <a:extLst>
                  <a:ext uri="{FF2B5EF4-FFF2-40B4-BE49-F238E27FC236}">
                    <a16:creationId xmlns:a16="http://schemas.microsoft.com/office/drawing/2014/main" id="{895F61E5-FD48-411C-9F61-6B1F194916C7}"/>
                  </a:ext>
                </a:extLst>
              </xdr:cNvPr>
              <xdr:cNvGraphicFramePr/>
            </xdr:nvGraphicFramePr>
            <xdr:xfrm>
              <a:off x="25636359" y="2415985"/>
              <a:ext cx="2561877" cy="3252418"/>
            </xdr:xfrm>
            <a:graphic>
              <a:graphicData uri="http://schemas.microsoft.com/office/drawing/2010/slicer">
                <sle:slicer xmlns:sle="http://schemas.microsoft.com/office/drawing/2010/slicer" name="월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5878813" y="2415985"/>
                <a:ext cx="2561877" cy="325241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ko-KR" altLang="en-US" sz="1100"/>
  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  </a:r>
              </a:p>
            </xdr:txBody>
          </xdr:sp>
        </mc:Fallback>
      </mc:AlternateContent>
      <xdr:sp macro="" textlink="피벗!T3">
        <xdr:nvSpPr>
          <xdr:cNvPr id="2" name="TextBox 1">
            <a:extLst>
              <a:ext uri="{FF2B5EF4-FFF2-40B4-BE49-F238E27FC236}">
                <a16:creationId xmlns:a16="http://schemas.microsoft.com/office/drawing/2014/main" id="{B17AD02A-83A9-11D9-FA86-2213CBBA51D3}"/>
              </a:ext>
            </a:extLst>
          </xdr:cNvPr>
          <xdr:cNvSpPr txBox="1"/>
        </xdr:nvSpPr>
        <xdr:spPr>
          <a:xfrm>
            <a:off x="25879851" y="1637748"/>
            <a:ext cx="1382758" cy="688064"/>
          </a:xfrm>
          <a:prstGeom prst="rect">
            <a:avLst/>
          </a:prstGeom>
          <a:solidFill>
            <a:schemeClr val="tx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54CEB2A-F5B6-41F7-A17C-DBFDD51742D1}" type="TxLink">
              <a:rPr lang="en-US" altLang="en-US" sz="3600" b="1" i="0" u="none" strike="noStrike">
                <a:solidFill>
                  <a:schemeClr val="bg1"/>
                </a:solidFill>
                <a:latin typeface="맑은 고딕"/>
                <a:ea typeface="맑은 고딕"/>
              </a:rPr>
              <a:pPr algn="ctr"/>
              <a:t>2026</a:t>
            </a:fld>
            <a:endParaRPr lang="ko-KR" altLang="en-US" sz="8800" b="1">
              <a:solidFill>
                <a:schemeClr val="bg1"/>
              </a:solidFill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Spinner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27441236" y="1618673"/>
                <a:ext cx="464705" cy="692150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7" name="시작일">
                <a:extLst>
                  <a:ext uri="{FF2B5EF4-FFF2-40B4-BE49-F238E27FC236}">
                    <a16:creationId xmlns:a16="http://schemas.microsoft.com/office/drawing/2014/main" id="{0B02F344-389A-4F7F-A16E-5D4152B5EE21}"/>
                  </a:ext>
                </a:extLst>
              </xdr:cNvPr>
              <xdr:cNvGraphicFramePr/>
            </xdr:nvGraphicFramePr>
            <xdr:xfrm>
              <a:off x="25636359" y="5686081"/>
              <a:ext cx="2561877" cy="1014648"/>
            </xdr:xfrm>
            <a:graphic>
              <a:graphicData uri="http://schemas.microsoft.com/office/drawing/2010/slicer">
                <sle:slicer xmlns:sle="http://schemas.microsoft.com/office/drawing/2010/slicer" name="시작일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5878813" y="5686081"/>
                <a:ext cx="2561877" cy="101464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ko-KR" altLang="en-US" sz="1100"/>
  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  </a:r>
              </a:p>
            </xdr:txBody>
          </xdr:sp>
        </mc:Fallback>
      </mc:AlternateContent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1084943</xdr:colOff>
      <xdr:row>1</xdr:row>
      <xdr:rowOff>37875</xdr:rowOff>
    </xdr:from>
    <xdr:to>
      <xdr:col>6</xdr:col>
      <xdr:colOff>2679700</xdr:colOff>
      <xdr:row>6</xdr:row>
      <xdr:rowOff>140761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11568FB0-191E-DBD1-328A-AB155EEFFE1A}"/>
            </a:ext>
          </a:extLst>
        </xdr:cNvPr>
        <xdr:cNvGrpSpPr/>
      </xdr:nvGrpSpPr>
      <xdr:grpSpPr>
        <a:xfrm>
          <a:off x="6825343" y="253775"/>
          <a:ext cx="1594757" cy="1182386"/>
          <a:chOff x="8874477" y="138289"/>
          <a:chExt cx="5140279" cy="1295402"/>
        </a:xfrm>
      </xdr:grpSpPr>
      <xdr:sp macro="" textlink="">
        <xdr:nvSpPr>
          <xdr:cNvPr id="7" name="사각형: 둥근 모서리 6">
            <a:extLst>
              <a:ext uri="{FF2B5EF4-FFF2-40B4-BE49-F238E27FC236}">
                <a16:creationId xmlns:a16="http://schemas.microsoft.com/office/drawing/2014/main" id="{1C34A549-B8CF-45AF-B3E6-A091EEC510F2}"/>
              </a:ext>
            </a:extLst>
          </xdr:cNvPr>
          <xdr:cNvSpPr/>
        </xdr:nvSpPr>
        <xdr:spPr>
          <a:xfrm>
            <a:off x="8874477" y="138289"/>
            <a:ext cx="5140279" cy="1295402"/>
          </a:xfrm>
          <a:prstGeom prst="roundRect">
            <a:avLst>
              <a:gd name="adj" fmla="val 13651"/>
            </a:avLst>
          </a:prstGeom>
          <a:solidFill>
            <a:schemeClr val="bg1"/>
          </a:solidFill>
          <a:ln>
            <a:noFill/>
          </a:ln>
          <a:effectLst>
            <a:outerShdw blurRad="2159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absoluteAnchor>
    <xdr:pos x="8545726" y="227602"/>
    <xdr:ext cx="1214224" cy="655048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구분">
              <a:extLst>
                <a:ext uri="{FF2B5EF4-FFF2-40B4-BE49-F238E27FC236}">
                  <a16:creationId xmlns:a16="http://schemas.microsoft.com/office/drawing/2014/main" id="{E3E6F6AB-B178-413E-8360-FD72297BC7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구분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45726" y="227602"/>
              <a:ext cx="1214224" cy="6550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absoluteAnchor>
  <xdr:twoCellAnchor editAs="absolute">
    <xdr:from>
      <xdr:col>6</xdr:col>
      <xdr:colOff>1053454</xdr:colOff>
      <xdr:row>1</xdr:row>
      <xdr:rowOff>88900</xdr:rowOff>
    </xdr:from>
    <xdr:to>
      <xdr:col>6</xdr:col>
      <xdr:colOff>2717800</xdr:colOff>
      <xdr:row>6</xdr:row>
      <xdr:rowOff>158750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27A76585-50D2-4651-886C-1ED72656A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706667</xdr:colOff>
      <xdr:row>1</xdr:row>
      <xdr:rowOff>57149</xdr:rowOff>
    </xdr:from>
    <xdr:to>
      <xdr:col>3</xdr:col>
      <xdr:colOff>457200</xdr:colOff>
      <xdr:row>7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날짜">
              <a:extLst>
                <a:ext uri="{FF2B5EF4-FFF2-40B4-BE49-F238E27FC236}">
                  <a16:creationId xmlns:a16="http://schemas.microsoft.com/office/drawing/2014/main" id="{97084784-9B09-49F6-9E7F-86E9FD984A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날짜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6317" y="273049"/>
              <a:ext cx="1274533" cy="12763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absoluteAnchor>
    <xdr:pos x="11366500" y="222403"/>
    <xdr:ext cx="1979543" cy="1295248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카테고리">
              <a:extLst>
                <a:ext uri="{FF2B5EF4-FFF2-40B4-BE49-F238E27FC236}">
                  <a16:creationId xmlns:a16="http://schemas.microsoft.com/office/drawing/2014/main" id="{E3F25659-1645-C2D0-BBAB-4C348BAB01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카테고리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66500" y="222403"/>
              <a:ext cx="1979543" cy="12952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absoluteAnchor>
  <xdr:absoluteAnchor>
    <xdr:pos x="9742766" y="227855"/>
    <xdr:ext cx="1611034" cy="642095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3" name="우선순위 1">
              <a:extLst>
                <a:ext uri="{FF2B5EF4-FFF2-40B4-BE49-F238E27FC236}">
                  <a16:creationId xmlns:a16="http://schemas.microsoft.com/office/drawing/2014/main" id="{98758ACE-E10E-9685-44F1-BC67ED2C98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우선순위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42766" y="227855"/>
              <a:ext cx="1611034" cy="6420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absoluteAnchor>
  <xdr:twoCellAnchor editAs="absolute">
    <xdr:from>
      <xdr:col>3</xdr:col>
      <xdr:colOff>441691</xdr:colOff>
      <xdr:row>1</xdr:row>
      <xdr:rowOff>38100</xdr:rowOff>
    </xdr:from>
    <xdr:to>
      <xdr:col>6</xdr:col>
      <xdr:colOff>998567</xdr:colOff>
      <xdr:row>6</xdr:row>
      <xdr:rowOff>139700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B3758BB6-F543-9898-65BA-31573CD2177D}"/>
            </a:ext>
          </a:extLst>
        </xdr:cNvPr>
        <xdr:cNvSpPr/>
      </xdr:nvSpPr>
      <xdr:spPr>
        <a:xfrm>
          <a:off x="2975341" y="254000"/>
          <a:ext cx="3763626" cy="1181100"/>
        </a:xfrm>
        <a:prstGeom prst="roundRect">
          <a:avLst>
            <a:gd name="adj" fmla="val 13651"/>
          </a:avLst>
        </a:prstGeom>
        <a:solidFill>
          <a:schemeClr val="bg1"/>
        </a:solidFill>
        <a:ln>
          <a:noFill/>
        </a:ln>
        <a:effectLst>
          <a:outerShdw blurRad="215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absolute">
    <xdr:from>
      <xdr:col>3</xdr:col>
      <xdr:colOff>559417</xdr:colOff>
      <xdr:row>2</xdr:row>
      <xdr:rowOff>155109</xdr:rowOff>
    </xdr:from>
    <xdr:to>
      <xdr:col>3</xdr:col>
      <xdr:colOff>1135417</xdr:colOff>
      <xdr:row>5</xdr:row>
      <xdr:rowOff>83409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6584B7E9-E16B-80F9-F011-686D7AD5564E}"/>
            </a:ext>
          </a:extLst>
        </xdr:cNvPr>
        <xdr:cNvSpPr>
          <a:spLocks/>
        </xdr:cNvSpPr>
      </xdr:nvSpPr>
      <xdr:spPr>
        <a:xfrm>
          <a:off x="3093067" y="586909"/>
          <a:ext cx="576000" cy="576000"/>
        </a:xfrm>
        <a:prstGeom prst="ellipse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 editAs="absolute">
    <xdr:from>
      <xdr:col>3</xdr:col>
      <xdr:colOff>421961</xdr:colOff>
      <xdr:row>2</xdr:row>
      <xdr:rowOff>192988</xdr:rowOff>
    </xdr:from>
    <xdr:to>
      <xdr:col>3</xdr:col>
      <xdr:colOff>1263104</xdr:colOff>
      <xdr:row>5</xdr:row>
      <xdr:rowOff>32928</xdr:rowOff>
    </xdr:to>
    <xdr:sp macro="" textlink="피벗!K3">
      <xdr:nvSpPr>
        <xdr:cNvPr id="11" name="TextBox 10">
          <a:extLst>
            <a:ext uri="{FF2B5EF4-FFF2-40B4-BE49-F238E27FC236}">
              <a16:creationId xmlns:a16="http://schemas.microsoft.com/office/drawing/2014/main" id="{56D6C5AA-F304-AB0B-1282-AAF783BE5D65}"/>
            </a:ext>
          </a:extLst>
        </xdr:cNvPr>
        <xdr:cNvSpPr txBox="1"/>
      </xdr:nvSpPr>
      <xdr:spPr>
        <a:xfrm>
          <a:off x="2955611" y="624788"/>
          <a:ext cx="841143" cy="487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CDD4BC9-0513-439D-BADB-81B797335309}" type="TxLink">
            <a:rPr lang="en-US" altLang="en-US" sz="16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ctr"/>
            <a:t>10</a:t>
          </a:fld>
          <a:endParaRPr lang="ko-KR" altLang="en-US" sz="48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516718</xdr:colOff>
      <xdr:row>1</xdr:row>
      <xdr:rowOff>7682</xdr:rowOff>
    </xdr:from>
    <xdr:to>
      <xdr:col>3</xdr:col>
      <xdr:colOff>1183880</xdr:colOff>
      <xdr:row>2</xdr:row>
      <xdr:rowOff>165144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67DBAE1-2962-436E-BD5B-3886CD2F7F52}"/>
            </a:ext>
          </a:extLst>
        </xdr:cNvPr>
        <xdr:cNvSpPr txBox="1"/>
      </xdr:nvSpPr>
      <xdr:spPr>
        <a:xfrm>
          <a:off x="3050368" y="223582"/>
          <a:ext cx="667162" cy="373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050" b="1" i="0" u="none" strike="noStrike">
              <a:solidFill>
                <a:srgbClr val="000000"/>
              </a:solidFill>
              <a:latin typeface="맑은 고딕"/>
              <a:ea typeface="맑은 고딕"/>
            </a:rPr>
            <a:t>전체</a:t>
          </a:r>
          <a:endParaRPr lang="en-US" altLang="en-US" sz="1050" b="1" i="0" u="none" strike="noStrike">
            <a:solidFill>
              <a:srgbClr val="000000"/>
            </a:solidFill>
            <a:latin typeface="맑은 고딕"/>
            <a:ea typeface="맑은 고딕"/>
          </a:endParaRPr>
        </a:p>
      </xdr:txBody>
    </xdr:sp>
    <xdr:clientData/>
  </xdr:twoCellAnchor>
  <xdr:twoCellAnchor editAs="absolute">
    <xdr:from>
      <xdr:col>3</xdr:col>
      <xdr:colOff>1180276</xdr:colOff>
      <xdr:row>1</xdr:row>
      <xdr:rowOff>7682</xdr:rowOff>
    </xdr:from>
    <xdr:to>
      <xdr:col>3</xdr:col>
      <xdr:colOff>1797031</xdr:colOff>
      <xdr:row>2</xdr:row>
      <xdr:rowOff>165144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39A3301-5FC7-BCBA-E6F6-EFD4042EF630}"/>
            </a:ext>
          </a:extLst>
        </xdr:cNvPr>
        <xdr:cNvSpPr txBox="1"/>
      </xdr:nvSpPr>
      <xdr:spPr>
        <a:xfrm>
          <a:off x="3713926" y="223582"/>
          <a:ext cx="616755" cy="373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050" b="1" i="0" u="none" strike="noStrike">
              <a:solidFill>
                <a:schemeClr val="bg1">
                  <a:lumMod val="65000"/>
                </a:schemeClr>
              </a:solidFill>
              <a:latin typeface="맑은 고딕"/>
              <a:ea typeface="맑은 고딕"/>
            </a:rPr>
            <a:t>시작전</a:t>
          </a:r>
          <a:endParaRPr lang="en-US" altLang="en-US" sz="1000" b="1" i="0" u="none" strike="noStrike">
            <a:solidFill>
              <a:schemeClr val="bg1">
                <a:lumMod val="65000"/>
              </a:schemeClr>
            </a:solidFill>
            <a:latin typeface="맑은 고딕"/>
            <a:ea typeface="맑은 고딕"/>
          </a:endParaRPr>
        </a:p>
      </xdr:txBody>
    </xdr:sp>
    <xdr:clientData/>
  </xdr:twoCellAnchor>
  <xdr:twoCellAnchor editAs="absolute">
    <xdr:from>
      <xdr:col>3</xdr:col>
      <xdr:colOff>1783902</xdr:colOff>
      <xdr:row>1</xdr:row>
      <xdr:rowOff>7682</xdr:rowOff>
    </xdr:from>
    <xdr:to>
      <xdr:col>4</xdr:col>
      <xdr:colOff>383512</xdr:colOff>
      <xdr:row>2</xdr:row>
      <xdr:rowOff>165144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45C4625-CA7F-A8BD-2A4C-8F4D24C97DC5}"/>
            </a:ext>
          </a:extLst>
        </xdr:cNvPr>
        <xdr:cNvSpPr txBox="1"/>
      </xdr:nvSpPr>
      <xdr:spPr>
        <a:xfrm>
          <a:off x="4317552" y="223582"/>
          <a:ext cx="676060" cy="373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050" b="1" i="0" u="none" strike="noStrike">
              <a:solidFill>
                <a:schemeClr val="bg2">
                  <a:lumMod val="60000"/>
                  <a:lumOff val="40000"/>
                </a:schemeClr>
              </a:solidFill>
              <a:latin typeface="맑은 고딕"/>
              <a:ea typeface="맑은 고딕"/>
            </a:rPr>
            <a:t>진행중</a:t>
          </a:r>
          <a:endParaRPr lang="en-US" altLang="en-US" sz="1000" b="1" i="0" u="none" strike="noStrike">
            <a:solidFill>
              <a:schemeClr val="bg2">
                <a:lumMod val="60000"/>
                <a:lumOff val="40000"/>
              </a:schemeClr>
            </a:solidFill>
            <a:latin typeface="맑은 고딕"/>
            <a:ea typeface="맑은 고딕"/>
          </a:endParaRPr>
        </a:p>
      </xdr:txBody>
    </xdr:sp>
    <xdr:clientData/>
  </xdr:twoCellAnchor>
  <xdr:twoCellAnchor editAs="absolute">
    <xdr:from>
      <xdr:col>4</xdr:col>
      <xdr:colOff>396197</xdr:colOff>
      <xdr:row>1</xdr:row>
      <xdr:rowOff>7682</xdr:rowOff>
    </xdr:from>
    <xdr:to>
      <xdr:col>5</xdr:col>
      <xdr:colOff>323150</xdr:colOff>
      <xdr:row>2</xdr:row>
      <xdr:rowOff>165144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721B8B7-D859-CA3D-D9C3-2B42C1E8AC97}"/>
            </a:ext>
          </a:extLst>
        </xdr:cNvPr>
        <xdr:cNvSpPr txBox="1"/>
      </xdr:nvSpPr>
      <xdr:spPr>
        <a:xfrm>
          <a:off x="5006297" y="223582"/>
          <a:ext cx="581003" cy="373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050" b="1" i="0" u="none" strike="noStrike">
              <a:solidFill>
                <a:schemeClr val="tx2">
                  <a:lumMod val="50000"/>
                  <a:lumOff val="50000"/>
                </a:schemeClr>
              </a:solidFill>
              <a:latin typeface="맑은 고딕"/>
              <a:ea typeface="맑은 고딕"/>
            </a:rPr>
            <a:t>완료</a:t>
          </a:r>
          <a:endParaRPr lang="en-US" altLang="en-US" sz="1050" b="1" i="0" u="none" strike="noStrike">
            <a:solidFill>
              <a:schemeClr val="tx2">
                <a:lumMod val="50000"/>
                <a:lumOff val="50000"/>
              </a:schemeClr>
            </a:solidFill>
            <a:latin typeface="맑은 고딕"/>
            <a:ea typeface="맑은 고딕"/>
          </a:endParaRPr>
        </a:p>
      </xdr:txBody>
    </xdr:sp>
    <xdr:clientData/>
  </xdr:twoCellAnchor>
  <xdr:twoCellAnchor editAs="absolute">
    <xdr:from>
      <xdr:col>3</xdr:col>
      <xdr:colOff>457199</xdr:colOff>
      <xdr:row>5</xdr:row>
      <xdr:rowOff>12700</xdr:rowOff>
    </xdr:from>
    <xdr:to>
      <xdr:col>5</xdr:col>
      <xdr:colOff>437357</xdr:colOff>
      <xdr:row>7</xdr:row>
      <xdr:rowOff>13821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4388FF2-76D3-447F-933D-362D727EF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5</xdr:col>
      <xdr:colOff>268374</xdr:colOff>
      <xdr:row>1</xdr:row>
      <xdr:rowOff>25400</xdr:rowOff>
    </xdr:from>
    <xdr:to>
      <xdr:col>6</xdr:col>
      <xdr:colOff>1072046</xdr:colOff>
      <xdr:row>6</xdr:row>
      <xdr:rowOff>176306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664DF9F6-474E-4970-9B58-B6702663A2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6</xdr:col>
      <xdr:colOff>50374</xdr:colOff>
      <xdr:row>2</xdr:row>
      <xdr:rowOff>160164</xdr:rowOff>
    </xdr:from>
    <xdr:to>
      <xdr:col>6</xdr:col>
      <xdr:colOff>839197</xdr:colOff>
      <xdr:row>5</xdr:row>
      <xdr:rowOff>3443</xdr:rowOff>
    </xdr:to>
    <xdr:sp macro="" textlink="피벗!O11">
      <xdr:nvSpPr>
        <xdr:cNvPr id="20" name="TextBox 19">
          <a:extLst>
            <a:ext uri="{FF2B5EF4-FFF2-40B4-BE49-F238E27FC236}">
              <a16:creationId xmlns:a16="http://schemas.microsoft.com/office/drawing/2014/main" id="{601B61CB-CEAE-27DD-6A72-61F056D5948C}"/>
            </a:ext>
          </a:extLst>
        </xdr:cNvPr>
        <xdr:cNvSpPr txBox="1"/>
      </xdr:nvSpPr>
      <xdr:spPr>
        <a:xfrm>
          <a:off x="5790774" y="591964"/>
          <a:ext cx="788823" cy="4909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9D42646-EE77-47C9-91C5-004C263D9BD4}" type="TxLink">
            <a:rPr lang="en-US" altLang="en-US" sz="16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30%</a:t>
          </a:fld>
          <a:endParaRPr lang="ko-KR" altLang="en-US" sz="2400" b="1"/>
        </a:p>
      </xdr:txBody>
    </xdr:sp>
    <xdr:clientData/>
  </xdr:twoCellAnchor>
  <xdr:twoCellAnchor editAs="absolute">
    <xdr:from>
      <xdr:col>6</xdr:col>
      <xdr:colOff>53119</xdr:colOff>
      <xdr:row>4</xdr:row>
      <xdr:rowOff>16998</xdr:rowOff>
    </xdr:from>
    <xdr:to>
      <xdr:col>6</xdr:col>
      <xdr:colOff>825612</xdr:colOff>
      <xdr:row>5</xdr:row>
      <xdr:rowOff>120530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B55F710-C626-EEFA-A68D-7F459985A31D}"/>
            </a:ext>
          </a:extLst>
        </xdr:cNvPr>
        <xdr:cNvSpPr txBox="1"/>
      </xdr:nvSpPr>
      <xdr:spPr>
        <a:xfrm>
          <a:off x="5793519" y="880598"/>
          <a:ext cx="772493" cy="3194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800"/>
            <a:t>완료율</a:t>
          </a:r>
        </a:p>
      </xdr:txBody>
    </xdr:sp>
    <xdr:clientData/>
  </xdr:twoCellAnchor>
  <xdr:twoCellAnchor editAs="absolute">
    <xdr:from>
      <xdr:col>3</xdr:col>
      <xdr:colOff>1196663</xdr:colOff>
      <xdr:row>2</xdr:row>
      <xdr:rowOff>155109</xdr:rowOff>
    </xdr:from>
    <xdr:to>
      <xdr:col>3</xdr:col>
      <xdr:colOff>1772663</xdr:colOff>
      <xdr:row>5</xdr:row>
      <xdr:rowOff>83409</xdr:rowOff>
    </xdr:to>
    <xdr:sp macro="" textlink="">
      <xdr:nvSpPr>
        <xdr:cNvPr id="43" name="타원 42">
          <a:extLst>
            <a:ext uri="{FF2B5EF4-FFF2-40B4-BE49-F238E27FC236}">
              <a16:creationId xmlns:a16="http://schemas.microsoft.com/office/drawing/2014/main" id="{B79C70DD-1470-4A70-9562-95C55DD9049B}"/>
            </a:ext>
          </a:extLst>
        </xdr:cNvPr>
        <xdr:cNvSpPr>
          <a:spLocks/>
        </xdr:cNvSpPr>
      </xdr:nvSpPr>
      <xdr:spPr>
        <a:xfrm>
          <a:off x="3730313" y="586909"/>
          <a:ext cx="576000" cy="576000"/>
        </a:xfrm>
        <a:prstGeom prst="ellipse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absolute">
    <xdr:from>
      <xdr:col>3</xdr:col>
      <xdr:colOff>1064156</xdr:colOff>
      <xdr:row>2</xdr:row>
      <xdr:rowOff>192988</xdr:rowOff>
    </xdr:from>
    <xdr:to>
      <xdr:col>3</xdr:col>
      <xdr:colOff>1906853</xdr:colOff>
      <xdr:row>5</xdr:row>
      <xdr:rowOff>32875</xdr:rowOff>
    </xdr:to>
    <xdr:sp macro="" textlink="피벗!K4">
      <xdr:nvSpPr>
        <xdr:cNvPr id="19" name="TextBox 18">
          <a:extLst>
            <a:ext uri="{FF2B5EF4-FFF2-40B4-BE49-F238E27FC236}">
              <a16:creationId xmlns:a16="http://schemas.microsoft.com/office/drawing/2014/main" id="{420EC810-A873-2609-8B17-720F431B456A}"/>
            </a:ext>
          </a:extLst>
        </xdr:cNvPr>
        <xdr:cNvSpPr txBox="1"/>
      </xdr:nvSpPr>
      <xdr:spPr>
        <a:xfrm>
          <a:off x="3597806" y="624788"/>
          <a:ext cx="842697" cy="4875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190532A-E8D7-474E-A1C4-377F012736D1}" type="TxLink">
            <a:rPr lang="en-US" altLang="en-US" sz="16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ctr"/>
            <a:t>4</a:t>
          </a:fld>
          <a:endParaRPr lang="ko-KR" altLang="en-US" sz="48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1833425</xdr:colOff>
      <xdr:row>2</xdr:row>
      <xdr:rowOff>155109</xdr:rowOff>
    </xdr:from>
    <xdr:to>
      <xdr:col>4</xdr:col>
      <xdr:colOff>332975</xdr:colOff>
      <xdr:row>5</xdr:row>
      <xdr:rowOff>83409</xdr:rowOff>
    </xdr:to>
    <xdr:sp macro="" textlink="">
      <xdr:nvSpPr>
        <xdr:cNvPr id="44" name="타원 43">
          <a:extLst>
            <a:ext uri="{FF2B5EF4-FFF2-40B4-BE49-F238E27FC236}">
              <a16:creationId xmlns:a16="http://schemas.microsoft.com/office/drawing/2014/main" id="{1D171855-E432-4CA4-90F7-DEC32F34D286}"/>
            </a:ext>
          </a:extLst>
        </xdr:cNvPr>
        <xdr:cNvSpPr>
          <a:spLocks/>
        </xdr:cNvSpPr>
      </xdr:nvSpPr>
      <xdr:spPr>
        <a:xfrm>
          <a:off x="4367075" y="586909"/>
          <a:ext cx="576000" cy="576000"/>
        </a:xfrm>
        <a:prstGeom prst="ellipse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absolute">
    <xdr:from>
      <xdr:col>4</xdr:col>
      <xdr:colOff>398117</xdr:colOff>
      <xdr:row>2</xdr:row>
      <xdr:rowOff>155109</xdr:rowOff>
    </xdr:from>
    <xdr:to>
      <xdr:col>5</xdr:col>
      <xdr:colOff>320067</xdr:colOff>
      <xdr:row>5</xdr:row>
      <xdr:rowOff>83409</xdr:rowOff>
    </xdr:to>
    <xdr:sp macro="" textlink="">
      <xdr:nvSpPr>
        <xdr:cNvPr id="45" name="타원 44">
          <a:extLst>
            <a:ext uri="{FF2B5EF4-FFF2-40B4-BE49-F238E27FC236}">
              <a16:creationId xmlns:a16="http://schemas.microsoft.com/office/drawing/2014/main" id="{036BCBF4-3728-48AA-B956-4C33C3EFD258}"/>
            </a:ext>
          </a:extLst>
        </xdr:cNvPr>
        <xdr:cNvSpPr>
          <a:spLocks/>
        </xdr:cNvSpPr>
      </xdr:nvSpPr>
      <xdr:spPr>
        <a:xfrm>
          <a:off x="5008217" y="586909"/>
          <a:ext cx="576000" cy="576000"/>
        </a:xfrm>
        <a:prstGeom prst="ellipse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absolute">
    <xdr:from>
      <xdr:col>3</xdr:col>
      <xdr:colOff>1709087</xdr:colOff>
      <xdr:row>2</xdr:row>
      <xdr:rowOff>192988</xdr:rowOff>
    </xdr:from>
    <xdr:to>
      <xdr:col>4</xdr:col>
      <xdr:colOff>466712</xdr:colOff>
      <xdr:row>5</xdr:row>
      <xdr:rowOff>32875</xdr:rowOff>
    </xdr:to>
    <xdr:sp macro="" textlink="피벗!K5">
      <xdr:nvSpPr>
        <xdr:cNvPr id="22" name="TextBox 21">
          <a:extLst>
            <a:ext uri="{FF2B5EF4-FFF2-40B4-BE49-F238E27FC236}">
              <a16:creationId xmlns:a16="http://schemas.microsoft.com/office/drawing/2014/main" id="{DBD92776-A760-65A4-1DA7-D75A844AE768}"/>
            </a:ext>
          </a:extLst>
        </xdr:cNvPr>
        <xdr:cNvSpPr txBox="1"/>
      </xdr:nvSpPr>
      <xdr:spPr>
        <a:xfrm>
          <a:off x="4242737" y="624788"/>
          <a:ext cx="834075" cy="4875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9E7CD0D-A01E-4228-BB10-91E24E46B2B3}" type="TxLink">
            <a:rPr lang="en-US" altLang="en-US" sz="16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ctr"/>
            <a:t>3</a:t>
          </a:fld>
          <a:endParaRPr lang="ko-KR" altLang="en-US" sz="28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4</xdr:col>
      <xdr:colOff>270639</xdr:colOff>
      <xdr:row>2</xdr:row>
      <xdr:rowOff>192988</xdr:rowOff>
    </xdr:from>
    <xdr:to>
      <xdr:col>5</xdr:col>
      <xdr:colOff>449737</xdr:colOff>
      <xdr:row>5</xdr:row>
      <xdr:rowOff>32875</xdr:rowOff>
    </xdr:to>
    <xdr:sp macro="" textlink="피벗!K6">
      <xdr:nvSpPr>
        <xdr:cNvPr id="25" name="TextBox 24">
          <a:extLst>
            <a:ext uri="{FF2B5EF4-FFF2-40B4-BE49-F238E27FC236}">
              <a16:creationId xmlns:a16="http://schemas.microsoft.com/office/drawing/2014/main" id="{85FC0B96-ABA8-479F-7B67-BA4ABEE01729}"/>
            </a:ext>
          </a:extLst>
        </xdr:cNvPr>
        <xdr:cNvSpPr txBox="1"/>
      </xdr:nvSpPr>
      <xdr:spPr>
        <a:xfrm>
          <a:off x="4880739" y="624788"/>
          <a:ext cx="833148" cy="4875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606CB47-A9C6-49C8-97BE-0EEAF17D867B}" type="TxLink">
            <a:rPr lang="en-US" altLang="en-US" sz="16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ctr"/>
            <a:t>3</a:t>
          </a:fld>
          <a:endParaRPr lang="ko-KR" altLang="en-US" sz="48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704850</xdr:colOff>
      <xdr:row>1</xdr:row>
      <xdr:rowOff>57150</xdr:rowOff>
    </xdr:from>
    <xdr:to>
      <xdr:col>2</xdr:col>
      <xdr:colOff>704850</xdr:colOff>
      <xdr:row>6</xdr:row>
      <xdr:rowOff>196850</xdr:rowOff>
    </xdr:to>
    <xdr:cxnSp macro="">
      <xdr:nvCxnSpPr>
        <xdr:cNvPr id="40" name="직선 연결선 39">
          <a:extLst>
            <a:ext uri="{FF2B5EF4-FFF2-40B4-BE49-F238E27FC236}">
              <a16:creationId xmlns:a16="http://schemas.microsoft.com/office/drawing/2014/main" id="{E7072544-518B-D3A7-CD27-FF1031595DA6}"/>
            </a:ext>
          </a:extLst>
        </xdr:cNvPr>
        <xdr:cNvCxnSpPr/>
      </xdr:nvCxnSpPr>
      <xdr:spPr>
        <a:xfrm>
          <a:off x="1714500" y="273050"/>
          <a:ext cx="0" cy="1219200"/>
        </a:xfrm>
        <a:prstGeom prst="line">
          <a:avLst/>
        </a:prstGeom>
        <a:ln w="6350"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2791326</xdr:colOff>
      <xdr:row>1</xdr:row>
      <xdr:rowOff>44450</xdr:rowOff>
    </xdr:from>
    <xdr:to>
      <xdr:col>6</xdr:col>
      <xdr:colOff>2791326</xdr:colOff>
      <xdr:row>6</xdr:row>
      <xdr:rowOff>146050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13E1D640-506B-4654-ABFF-CAC9F470E4D2}"/>
            </a:ext>
          </a:extLst>
        </xdr:cNvPr>
        <xdr:cNvCxnSpPr/>
      </xdr:nvCxnSpPr>
      <xdr:spPr>
        <a:xfrm>
          <a:off x="8531726" y="260350"/>
          <a:ext cx="0" cy="1181100"/>
        </a:xfrm>
        <a:prstGeom prst="line">
          <a:avLst/>
        </a:prstGeom>
        <a:ln w="6350"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184150</xdr:colOff>
      <xdr:row>1</xdr:row>
      <xdr:rowOff>91784</xdr:rowOff>
    </xdr:from>
    <xdr:to>
      <xdr:col>2</xdr:col>
      <xdr:colOff>628650</xdr:colOff>
      <xdr:row>3</xdr:row>
      <xdr:rowOff>91785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2E00D7C-8523-433D-992C-006D53601D0A}"/>
            </a:ext>
          </a:extLst>
        </xdr:cNvPr>
        <xdr:cNvSpPr txBox="1"/>
      </xdr:nvSpPr>
      <xdr:spPr>
        <a:xfrm>
          <a:off x="184150" y="307684"/>
          <a:ext cx="1454150" cy="431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en-US" sz="2400" b="1" i="0" u="none" strike="noStrike" baseline="0">
              <a:solidFill>
                <a:srgbClr val="000000"/>
              </a:solidFill>
              <a:latin typeface="Franklin Gothic Heavy" panose="020B0903020102020204" pitchFamily="34" charset="0"/>
              <a:ea typeface="Gadugi" panose="020B0502040204020203" pitchFamily="34" charset="0"/>
              <a:cs typeface="Calibri" panose="020F0502020204030204" pitchFamily="34" charset="0"/>
            </a:rPr>
            <a:t>Planner</a:t>
          </a:r>
          <a:endParaRPr lang="en-US" altLang="en-US" sz="2400" b="1" i="0" u="none" strike="noStrike">
            <a:solidFill>
              <a:srgbClr val="000000"/>
            </a:solidFill>
            <a:latin typeface="Franklin Gothic Heavy" panose="020B0903020102020204" pitchFamily="34" charset="0"/>
            <a:ea typeface="Gadugi" panose="020B0502040204020203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6</xdr:col>
      <xdr:colOff>2806700</xdr:colOff>
      <xdr:row>3</xdr:row>
      <xdr:rowOff>208722</xdr:rowOff>
    </xdr:from>
    <xdr:to>
      <xdr:col>8</xdr:col>
      <xdr:colOff>831850</xdr:colOff>
      <xdr:row>6</xdr:row>
      <xdr:rowOff>202372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3" name="진행상태">
              <a:extLst>
                <a:ext uri="{FF2B5EF4-FFF2-40B4-BE49-F238E27FC236}">
                  <a16:creationId xmlns:a16="http://schemas.microsoft.com/office/drawing/2014/main" id="{DCA54DF6-F29C-6E32-6329-E3EB9D5DAE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진행상태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47100" y="856422"/>
              <a:ext cx="2813050" cy="641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833639</xdr:colOff>
      <xdr:row>1</xdr:row>
      <xdr:rowOff>46691</xdr:rowOff>
    </xdr:from>
    <xdr:to>
      <xdr:col>8</xdr:col>
      <xdr:colOff>833639</xdr:colOff>
      <xdr:row>6</xdr:row>
      <xdr:rowOff>150091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CF204581-C0FB-430D-B4CA-DDF112930BF8}"/>
            </a:ext>
          </a:extLst>
        </xdr:cNvPr>
        <xdr:cNvCxnSpPr/>
      </xdr:nvCxnSpPr>
      <xdr:spPr>
        <a:xfrm flipV="1">
          <a:off x="11361939" y="262591"/>
          <a:ext cx="0" cy="1182900"/>
        </a:xfrm>
        <a:prstGeom prst="line">
          <a:avLst/>
        </a:prstGeom>
        <a:ln w="6350"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98887</xdr:colOff>
      <xdr:row>1</xdr:row>
      <xdr:rowOff>42636</xdr:rowOff>
    </xdr:from>
    <xdr:to>
      <xdr:col>7</xdr:col>
      <xdr:colOff>98887</xdr:colOff>
      <xdr:row>3</xdr:row>
      <xdr:rowOff>132773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0AEF8F48-E2C1-48A4-A881-91812AD1F731}"/>
            </a:ext>
          </a:extLst>
        </xdr:cNvPr>
        <xdr:cNvCxnSpPr/>
      </xdr:nvCxnSpPr>
      <xdr:spPr>
        <a:xfrm flipV="1">
          <a:off x="9750887" y="258536"/>
          <a:ext cx="0" cy="521937"/>
        </a:xfrm>
        <a:prstGeom prst="line">
          <a:avLst/>
        </a:prstGeom>
        <a:ln w="6350"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23</xdr:col>
      <xdr:colOff>355600</xdr:colOff>
      <xdr:row>2</xdr:row>
      <xdr:rowOff>50800</xdr:rowOff>
    </xdr:from>
    <xdr:to>
      <xdr:col>25</xdr:col>
      <xdr:colOff>361950</xdr:colOff>
      <xdr:row>5</xdr:row>
      <xdr:rowOff>101600</xdr:rowOff>
    </xdr:to>
    <xdr:sp macro="" textlink="">
      <xdr:nvSpPr>
        <xdr:cNvPr id="32" name="말풍선: 사각형 31">
          <a:extLst>
            <a:ext uri="{FF2B5EF4-FFF2-40B4-BE49-F238E27FC236}">
              <a16:creationId xmlns:a16="http://schemas.microsoft.com/office/drawing/2014/main" id="{B494BA19-1346-4E50-852E-8F86973B6E34}"/>
            </a:ext>
          </a:extLst>
        </xdr:cNvPr>
        <xdr:cNvSpPr/>
      </xdr:nvSpPr>
      <xdr:spPr>
        <a:xfrm>
          <a:off x="18427700" y="482600"/>
          <a:ext cx="1327150" cy="698500"/>
        </a:xfrm>
        <a:prstGeom prst="wedgeRectCallout">
          <a:avLst>
            <a:gd name="adj1" fmla="val -63369"/>
            <a:gd name="adj2" fmla="val -20519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체크리스트는</a:t>
          </a: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or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드롭박스 클릭</a:t>
          </a:r>
          <a:endParaRPr lang="ko-KR" altLang="ko-KR">
            <a:effectLst/>
          </a:endParaRPr>
        </a:p>
        <a:p>
          <a:pPr algn="l"/>
          <a:endParaRPr lang="ko-KR" altLang="en-US" sz="1100"/>
        </a:p>
      </xdr:txBody>
    </xdr:sp>
    <xdr:clientData/>
  </xdr:twoCellAnchor>
  <xdr:twoCellAnchor editAs="absolute">
    <xdr:from>
      <xdr:col>11</xdr:col>
      <xdr:colOff>6350</xdr:colOff>
      <xdr:row>9</xdr:row>
      <xdr:rowOff>177800</xdr:rowOff>
    </xdr:from>
    <xdr:to>
      <xdr:col>18</xdr:col>
      <xdr:colOff>31750</xdr:colOff>
      <xdr:row>26</xdr:row>
      <xdr:rowOff>190500</xdr:rowOff>
    </xdr:to>
    <xdr:sp macro="" textlink="">
      <xdr:nvSpPr>
        <xdr:cNvPr id="9" name="말풍선: 사각형 8">
          <a:extLst>
            <a:ext uri="{FF2B5EF4-FFF2-40B4-BE49-F238E27FC236}">
              <a16:creationId xmlns:a16="http://schemas.microsoft.com/office/drawing/2014/main" id="{6276ADBB-85E2-4558-A70B-F071D6435663}"/>
            </a:ext>
          </a:extLst>
        </xdr:cNvPr>
        <xdr:cNvSpPr/>
      </xdr:nvSpPr>
      <xdr:spPr>
        <a:xfrm>
          <a:off x="13481050" y="2120900"/>
          <a:ext cx="3575050" cy="3683000"/>
        </a:xfrm>
        <a:prstGeom prst="wedgeRectCallout">
          <a:avLst>
            <a:gd name="adj1" fmla="val -49968"/>
            <a:gd name="adj2" fmla="val -22053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대시보드 데이터 반영</a:t>
          </a:r>
          <a:endParaRPr lang="en-US" altLang="ko-KR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Ctrl + Alt + F5 (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데이터 탭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모두 새로고침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>
            <a:effectLst/>
          </a:endParaRPr>
        </a:p>
        <a:p>
          <a:endParaRPr lang="en-US" altLang="ko-K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중간에 행을 추가하는</a:t>
          </a:r>
          <a:r>
            <a:rPr lang="ko-KR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방법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</a:t>
          </a:r>
          <a:endParaRPr lang="ko-KR" altLang="ko-KR" b="1">
            <a:effectLst/>
          </a:endParaRPr>
        </a:p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방법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: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왼쪽 행 번호 클릭 → 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Ctrl + Shift + =</a:t>
          </a:r>
          <a:endParaRPr lang="ko-KR" altLang="ko-KR">
            <a:effectLst/>
          </a:endParaRPr>
        </a:p>
        <a:p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방법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2: 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셀 클릭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Shift + Space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행 선택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Ctrl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 Shift + =</a:t>
          </a:r>
        </a:p>
        <a:p>
          <a:endParaRPr lang="ko-KR" altLang="ko-KR">
            <a:effectLst/>
          </a:endParaRPr>
        </a:p>
        <a:p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</a:t>
          </a:r>
          <a:r>
            <a:rPr lang="ko-KR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행 삭제 방법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</a:t>
          </a:r>
          <a:endParaRPr lang="ko-KR" altLang="ko-KR" b="1">
            <a:effectLst/>
          </a:endParaRPr>
        </a:p>
        <a:p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방법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: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왼쪽 행 번호 클릭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Ctrl + -</a:t>
          </a:r>
          <a:endParaRPr lang="ko-KR" altLang="ko-K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방법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: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셀 클릭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Shift +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Space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행 선택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Ctrl + -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할일 순서 변경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이동할 행 번호 클릭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Shift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누른 상태에서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행 번호 오른쪽 선 클릭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원하는 위치로 위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이동</a:t>
          </a:r>
          <a:endParaRPr lang="ko-KR" altLang="ko-K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18</xdr:col>
      <xdr:colOff>184150</xdr:colOff>
      <xdr:row>9</xdr:row>
      <xdr:rowOff>177800</xdr:rowOff>
    </xdr:from>
    <xdr:to>
      <xdr:col>27</xdr:col>
      <xdr:colOff>127000</xdr:colOff>
      <xdr:row>26</xdr:row>
      <xdr:rowOff>190500</xdr:rowOff>
    </xdr:to>
    <xdr:sp macro="" textlink="">
      <xdr:nvSpPr>
        <xdr:cNvPr id="10" name="말풍선: 사각형 9">
          <a:extLst>
            <a:ext uri="{FF2B5EF4-FFF2-40B4-BE49-F238E27FC236}">
              <a16:creationId xmlns:a16="http://schemas.microsoft.com/office/drawing/2014/main" id="{584481AD-FA0F-4CAB-941D-A248520AD1DA}"/>
            </a:ext>
          </a:extLst>
        </xdr:cNvPr>
        <xdr:cNvSpPr/>
      </xdr:nvSpPr>
      <xdr:spPr>
        <a:xfrm>
          <a:off x="17208500" y="2120900"/>
          <a:ext cx="3632200" cy="3683000"/>
        </a:xfrm>
        <a:prstGeom prst="wedgeRectCallout">
          <a:avLst>
            <a:gd name="adj1" fmla="val -49968"/>
            <a:gd name="adj2" fmla="val -23468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그 외 단축키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같은 내용 아래 셀에 붙여넣기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Ctrl + D</a:t>
          </a:r>
          <a:endParaRPr lang="ko-KR" altLang="ko-KR">
            <a:effectLst/>
          </a:endParaRPr>
        </a:p>
        <a:p>
          <a:endParaRPr lang="en-US" altLang="ko-K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여러 셀에 같은 값 입력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/>
            <a:t>: </a:t>
          </a:r>
          <a:r>
            <a:rPr lang="ko-KR" altLang="en-US"/>
            <a:t>입력할 셀 범위를 선택한 뒤 값을 입력하고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Ctrl + Enter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오늘 날짜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Ctrl + ;</a:t>
          </a:r>
        </a:p>
        <a:p>
          <a:endParaRPr lang="en-US" altLang="ko-KR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완료된 목록 필터링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Ctrl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누른 상태에서 완료 버튼 클릭</a:t>
          </a: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슬라이서 중복 선택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Ctrl or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드래그</a:t>
          </a: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셀 안에서 줄 바꿈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Alt + Enter</a:t>
          </a:r>
        </a:p>
      </xdr:txBody>
    </xdr:sp>
    <xdr:clientData/>
  </xdr:twoCellAnchor>
  <xdr:twoCellAnchor editAs="absolute">
    <xdr:from>
      <xdr:col>27</xdr:col>
      <xdr:colOff>279400</xdr:colOff>
      <xdr:row>9</xdr:row>
      <xdr:rowOff>177800</xdr:rowOff>
    </xdr:from>
    <xdr:to>
      <xdr:col>34</xdr:col>
      <xdr:colOff>63500</xdr:colOff>
      <xdr:row>26</xdr:row>
      <xdr:rowOff>190500</xdr:rowOff>
    </xdr:to>
    <xdr:sp macro="" textlink="">
      <xdr:nvSpPr>
        <xdr:cNvPr id="14" name="말풍선: 사각형 13">
          <a:extLst>
            <a:ext uri="{FF2B5EF4-FFF2-40B4-BE49-F238E27FC236}">
              <a16:creationId xmlns:a16="http://schemas.microsoft.com/office/drawing/2014/main" id="{C5769F21-2FE7-4524-9972-B26B94E23DED}"/>
            </a:ext>
          </a:extLst>
        </xdr:cNvPr>
        <xdr:cNvSpPr/>
      </xdr:nvSpPr>
      <xdr:spPr>
        <a:xfrm>
          <a:off x="20993100" y="2120900"/>
          <a:ext cx="4406900" cy="3683000"/>
        </a:xfrm>
        <a:prstGeom prst="wedgeRectCallout">
          <a:avLst>
            <a:gd name="adj1" fmla="val -49968"/>
            <a:gd name="adj2" fmla="val -23468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</a:t>
          </a:r>
          <a:r>
            <a:rPr lang="ko-KR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잘라내기 사용 금지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일반 붙여넣기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Ctrl + C → Ctrl + V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대신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값만 붙여넣기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사용해주세요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: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Ctrl + C → Ctrl + Shift + V </a:t>
          </a: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: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Ctrl + C → Ctrl +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Alt + V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Enter</a:t>
          </a:r>
        </a:p>
        <a:p>
          <a:endParaRPr lang="ko-KR" altLang="ko-KR">
            <a:effectLst/>
          </a:endParaRPr>
        </a:p>
        <a:p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일반 붙여넣기를 사용하면 조건부 서식이 중복 적용되어</a:t>
          </a:r>
          <a:b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수식이나 서식이 틀어질 수 있습니다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endParaRPr lang="en-US" altLang="ko-KR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</a:t>
          </a:r>
          <a:r>
            <a:rPr lang="ko-KR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수식이 틀어졌을 때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</a:t>
          </a:r>
        </a:p>
        <a:p>
          <a:r>
            <a:rPr lang="ko-KR" altLang="en-US"/>
            <a:t>파일 사본을 먼저 만든 뒤</a:t>
          </a:r>
          <a:r>
            <a:rPr lang="en-US" altLang="ko-KR"/>
            <a:t>,</a:t>
          </a:r>
          <a:br>
            <a:rPr lang="en-US" altLang="ko-KR"/>
          </a:br>
          <a:r>
            <a:rPr lang="ko-KR" altLang="en-US"/>
            <a:t>수식이 잘못된 행부터 아래 행을 모두 삭제해 주세요</a:t>
          </a:r>
          <a:r>
            <a:rPr lang="en-US" altLang="ko-KR"/>
            <a:t>.</a:t>
          </a:r>
          <a:br>
            <a:rPr lang="en-US" altLang="ko-KR"/>
          </a:br>
          <a:r>
            <a:rPr lang="ko-KR" altLang="en-US"/>
            <a:t>이후 기존에 입력했던 데이터는</a:t>
          </a:r>
          <a:endParaRPr lang="en-US" altLang="ko-KR"/>
        </a:p>
        <a:p>
          <a:r>
            <a:rPr lang="ko-KR" altLang="en-US" b="1"/>
            <a:t>값 붙여넣기</a:t>
          </a:r>
          <a:r>
            <a:rPr lang="ko-KR" altLang="en-US"/>
            <a:t>로 다시 옮겨 사용해 주세요</a:t>
          </a:r>
          <a:r>
            <a:rPr lang="en-US" altLang="ko-KR"/>
            <a:t>.</a:t>
          </a:r>
        </a:p>
        <a:p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63936</xdr:colOff>
      <xdr:row>5</xdr:row>
      <xdr:rowOff>499783</xdr:rowOff>
    </xdr:from>
    <xdr:to>
      <xdr:col>6</xdr:col>
      <xdr:colOff>146486</xdr:colOff>
      <xdr:row>11</xdr:row>
      <xdr:rowOff>328333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BB39A81-D606-A20F-C7CC-664671BAA3B6}"/>
            </a:ext>
          </a:extLst>
        </xdr:cNvPr>
        <xdr:cNvSpPr txBox="1"/>
      </xdr:nvSpPr>
      <xdr:spPr>
        <a:xfrm>
          <a:off x="1217979" y="1891261"/>
          <a:ext cx="2732985" cy="2064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>
              <a:solidFill>
                <a:schemeClr val="tx1">
                  <a:lumMod val="75000"/>
                  <a:lumOff val="25000"/>
                </a:schemeClr>
              </a:solidFill>
              <a:effectLst/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Visualize your goals, </a:t>
          </a:r>
        </a:p>
        <a:p>
          <a:pPr algn="ctr"/>
          <a:r>
            <a:rPr lang="en-US" altLang="ko-KR" sz="1600">
              <a:solidFill>
                <a:schemeClr val="tx1">
                  <a:lumMod val="75000"/>
                  <a:lumOff val="25000"/>
                </a:schemeClr>
              </a:solidFill>
              <a:effectLst/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design your future</a:t>
          </a:r>
        </a:p>
      </xdr:txBody>
    </xdr:sp>
    <xdr:clientData/>
  </xdr:twoCellAnchor>
  <xdr:twoCellAnchor editAs="absolute">
    <xdr:from>
      <xdr:col>2</xdr:col>
      <xdr:colOff>38536</xdr:colOff>
      <xdr:row>5</xdr:row>
      <xdr:rowOff>164353</xdr:rowOff>
    </xdr:from>
    <xdr:to>
      <xdr:col>6</xdr:col>
      <xdr:colOff>171886</xdr:colOff>
      <xdr:row>5</xdr:row>
      <xdr:rowOff>164353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8CD1C636-50B0-4C5B-A57B-3295F1990410}"/>
            </a:ext>
          </a:extLst>
        </xdr:cNvPr>
        <xdr:cNvCxnSpPr/>
      </xdr:nvCxnSpPr>
      <xdr:spPr>
        <a:xfrm flipH="1">
          <a:off x="1192579" y="1555831"/>
          <a:ext cx="2783785" cy="0"/>
        </a:xfrm>
        <a:prstGeom prst="line">
          <a:avLst/>
        </a:prstGeom>
        <a:ln w="6350"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38536</xdr:colOff>
      <xdr:row>11</xdr:row>
      <xdr:rowOff>618940</xdr:rowOff>
    </xdr:from>
    <xdr:to>
      <xdr:col>6</xdr:col>
      <xdr:colOff>171886</xdr:colOff>
      <xdr:row>11</xdr:row>
      <xdr:rowOff>618940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AD48C409-0718-458B-AE50-18013B9E3CDE}"/>
            </a:ext>
          </a:extLst>
        </xdr:cNvPr>
        <xdr:cNvCxnSpPr/>
      </xdr:nvCxnSpPr>
      <xdr:spPr>
        <a:xfrm flipH="1">
          <a:off x="1192579" y="4246723"/>
          <a:ext cx="2783785" cy="0"/>
        </a:xfrm>
        <a:prstGeom prst="line">
          <a:avLst/>
        </a:prstGeom>
        <a:ln w="6350"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290603</xdr:colOff>
      <xdr:row>9</xdr:row>
      <xdr:rowOff>577850</xdr:rowOff>
    </xdr:from>
    <xdr:to>
      <xdr:col>7</xdr:col>
      <xdr:colOff>411253</xdr:colOff>
      <xdr:row>24</xdr:row>
      <xdr:rowOff>39221</xdr:rowOff>
    </xdr:to>
    <xdr:pic>
      <xdr:nvPicPr>
        <xdr:cNvPr id="19" name="그래픽 18" descr="사각형 2개, 단색 하나와 가로줄로 채워진 것 하나">
          <a:extLst>
            <a:ext uri="{FF2B5EF4-FFF2-40B4-BE49-F238E27FC236}">
              <a16:creationId xmlns:a16="http://schemas.microsoft.com/office/drawing/2014/main" id="{04019EE8-AD40-8CB2-865D-A1FE8AFBB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0603" y="3460198"/>
          <a:ext cx="4587737" cy="45800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93869</xdr:colOff>
      <xdr:row>30</xdr:row>
      <xdr:rowOff>62784</xdr:rowOff>
    </xdr:from>
    <xdr:to>
      <xdr:col>1</xdr:col>
      <xdr:colOff>397564</xdr:colOff>
      <xdr:row>31</xdr:row>
      <xdr:rowOff>151131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02FD564-2840-4848-81CE-87A7CE0BF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269" y="7136684"/>
          <a:ext cx="303695" cy="304247"/>
        </a:xfrm>
        <a:prstGeom prst="rect">
          <a:avLst/>
        </a:prstGeom>
      </xdr:spPr>
    </xdr:pic>
    <xdr:clientData/>
  </xdr:twoCellAnchor>
  <xdr:twoCellAnchor editAs="oneCell">
    <xdr:from>
      <xdr:col>1</xdr:col>
      <xdr:colOff>39566</xdr:colOff>
      <xdr:row>33</xdr:row>
      <xdr:rowOff>22088</xdr:rowOff>
    </xdr:from>
    <xdr:to>
      <xdr:col>1</xdr:col>
      <xdr:colOff>453613</xdr:colOff>
      <xdr:row>35</xdr:row>
      <xdr:rowOff>168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EF9CCD8-0A15-4F1B-B1E5-DBD54454F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966" y="7743688"/>
          <a:ext cx="414047" cy="409880"/>
        </a:xfrm>
        <a:prstGeom prst="rect">
          <a:avLst/>
        </a:prstGeom>
      </xdr:spPr>
    </xdr:pic>
    <xdr:clientData/>
  </xdr:twoCellAnchor>
  <xdr:twoCellAnchor editAs="oneCell">
    <xdr:from>
      <xdr:col>2</xdr:col>
      <xdr:colOff>120648</xdr:colOff>
      <xdr:row>22</xdr:row>
      <xdr:rowOff>44824</xdr:rowOff>
    </xdr:from>
    <xdr:to>
      <xdr:col>2</xdr:col>
      <xdr:colOff>1227426</xdr:colOff>
      <xdr:row>25</xdr:row>
      <xdr:rowOff>58452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DC8BAA7-B782-4CCB-8EA0-4C78A52E7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4948" y="4362824"/>
          <a:ext cx="1106778" cy="661328"/>
        </a:xfrm>
        <a:prstGeom prst="rect">
          <a:avLst/>
        </a:prstGeom>
      </xdr:spPr>
    </xdr:pic>
    <xdr:clientData/>
  </xdr:twoCellAnchor>
  <xdr:oneCellAnchor>
    <xdr:from>
      <xdr:col>1</xdr:col>
      <xdr:colOff>63314</xdr:colOff>
      <xdr:row>39</xdr:row>
      <xdr:rowOff>41070</xdr:rowOff>
    </xdr:from>
    <xdr:ext cx="362510" cy="362510"/>
    <xdr:pic>
      <xdr:nvPicPr>
        <xdr:cNvPr id="5" name="그림 4">
          <a:extLst>
            <a:ext uri="{FF2B5EF4-FFF2-40B4-BE49-F238E27FC236}">
              <a16:creationId xmlns:a16="http://schemas.microsoft.com/office/drawing/2014/main" id="{E59DABE8-5613-44E3-8705-A080ACC00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/>
      </xdr:blipFill>
      <xdr:spPr>
        <a:xfrm>
          <a:off x="723714" y="9058070"/>
          <a:ext cx="362510" cy="362510"/>
        </a:xfrm>
        <a:prstGeom prst="rect">
          <a:avLst/>
        </a:prstGeom>
      </xdr:spPr>
    </xdr:pic>
    <xdr:clientData/>
  </xdr:oneCellAnchor>
  <xdr:twoCellAnchor editAs="oneCell">
    <xdr:from>
      <xdr:col>1</xdr:col>
      <xdr:colOff>69852</xdr:colOff>
      <xdr:row>36</xdr:row>
      <xdr:rowOff>82550</xdr:rowOff>
    </xdr:from>
    <xdr:to>
      <xdr:col>1</xdr:col>
      <xdr:colOff>418566</xdr:colOff>
      <xdr:row>37</xdr:row>
      <xdr:rowOff>114300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9D7EAFA-6721-4325-944E-079CA3C4FD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3022" t="21221" r="33957" b="21628"/>
        <a:stretch>
          <a:fillRect/>
        </a:stretch>
      </xdr:blipFill>
      <xdr:spPr>
        <a:xfrm>
          <a:off x="730252" y="8451850"/>
          <a:ext cx="348714" cy="247650"/>
        </a:xfrm>
        <a:prstGeom prst="rect">
          <a:avLst/>
        </a:prstGeom>
      </xdr:spPr>
    </xdr:pic>
    <xdr:clientData/>
  </xdr:twoCellAnchor>
  <xdr:oneCellAnchor>
    <xdr:from>
      <xdr:col>1</xdr:col>
      <xdr:colOff>93869</xdr:colOff>
      <xdr:row>27</xdr:row>
      <xdr:rowOff>63433</xdr:rowOff>
    </xdr:from>
    <xdr:ext cx="303695" cy="303695"/>
    <xdr:pic>
      <xdr:nvPicPr>
        <xdr:cNvPr id="7" name="그림 6">
          <a:extLst>
            <a:ext uri="{FF2B5EF4-FFF2-40B4-BE49-F238E27FC236}">
              <a16:creationId xmlns:a16="http://schemas.microsoft.com/office/drawing/2014/main" id="{3F88723E-F738-4978-A92C-AEC1399E5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/>
      </xdr:blipFill>
      <xdr:spPr>
        <a:xfrm>
          <a:off x="751281" y="6129551"/>
          <a:ext cx="303695" cy="303695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현재" refreshedDate="46276.721827083333" missingItemsLimit="0" createdVersion="8" refreshedVersion="8" minRefreshableVersion="3" recordCount="10" xr:uid="{E0A0CABB-8C92-4376-8BE9-924BE84BAFB2}">
  <cacheSource type="worksheet">
    <worksheetSource name="할일표"/>
  </cacheSource>
  <cacheFields count="9">
    <cacheField name="구분" numFmtId="0">
      <sharedItems/>
    </cacheField>
    <cacheField name="날짜" numFmtId="183">
      <sharedItems containsSemiMixedTypes="0" containsNonDate="0" containsDate="1" containsString="0" minDate="2026-09-16T00:00:00" maxDate="2026-09-25T00:00:00" count="9"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</sharedItems>
    </cacheField>
    <cacheField name="카테고리" numFmtId="0">
      <sharedItems/>
    </cacheField>
    <cacheField name="우선순위" numFmtId="0">
      <sharedItems count="3">
        <s v="높음"/>
        <s v="중간"/>
        <s v="낮음"/>
      </sharedItems>
    </cacheField>
    <cacheField name="표시" numFmtId="0">
      <sharedItems containsSemiMixedTypes="0" containsString="0" containsNumber="1" containsInteger="1" minValue="1" maxValue="3"/>
    </cacheField>
    <cacheField name="업무" numFmtId="0">
      <sharedItems/>
    </cacheField>
    <cacheField name="진행률" numFmtId="9">
      <sharedItems containsString="0" containsBlank="1" containsNumber="1" minValue="0.25" maxValue="1"/>
    </cacheField>
    <cacheField name="비고" numFmtId="0">
      <sharedItems containsBlank="1"/>
    </cacheField>
    <cacheField name="상태" numFmtId="0">
      <sharedItems count="3">
        <s v="시작전"/>
        <s v="진행중"/>
        <s v="완료"/>
      </sharedItems>
    </cacheField>
  </cacheFields>
  <extLst>
    <ext xmlns:x14="http://schemas.microsoft.com/office/spreadsheetml/2009/9/main" uri="{725AE2AE-9491-48be-B2B4-4EB974FC3084}">
      <x14:pivotCacheDefinition pivotCacheId="171989077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현재" refreshedDate="46276.721828240741" missingItemsLimit="0" createdVersion="8" refreshedVersion="8" minRefreshableVersion="3" recordCount="12" xr:uid="{F687C2F4-629B-413C-9FE1-EA5704C2E072}">
  <cacheSource type="worksheet">
    <worksheetSource ref="A3:B15" sheet="피벗"/>
  </cacheSource>
  <cacheFields count="2">
    <cacheField name="월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월1" numFmtId="0">
      <sharedItems/>
    </cacheField>
  </cacheFields>
  <extLst>
    <ext xmlns:x14="http://schemas.microsoft.com/office/spreadsheetml/2009/9/main" uri="{725AE2AE-9491-48be-B2B4-4EB974FC3084}">
      <x14:pivotCacheDefinition pivotCacheId="1283862498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현재" refreshedDate="46276.721830092596" missingItemsLimit="0" createdVersion="8" refreshedVersion="8" minRefreshableVersion="3" recordCount="5" xr:uid="{E43CEE99-41FD-413F-9D06-B466D82CAB34}">
  <cacheSource type="worksheet">
    <worksheetSource ref="A18:A23" sheet="피벗"/>
  </cacheSource>
  <cacheFields count="1">
    <cacheField name="주차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</cacheFields>
  <extLst>
    <ext xmlns:x14="http://schemas.microsoft.com/office/spreadsheetml/2009/9/main" uri="{725AE2AE-9491-48be-B2B4-4EB974FC3084}">
      <x14:pivotCacheDefinition pivotCacheId="1574410564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현재" refreshedDate="46276.72183101852" missingItemsLimit="0" createdVersion="8" refreshedVersion="8" minRefreshableVersion="3" recordCount="2" xr:uid="{290311B1-E21D-4984-8546-AD47609F1013}">
  <cacheSource type="worksheet">
    <worksheetSource ref="Y2:Y4" sheet="피벗"/>
  </cacheSource>
  <cacheFields count="1">
    <cacheField name="시작일" numFmtId="0">
      <sharedItems count="2">
        <s v="월요일"/>
        <s v="일요일"/>
      </sharedItems>
    </cacheField>
  </cacheFields>
  <extLst>
    <ext xmlns:x14="http://schemas.microsoft.com/office/spreadsheetml/2009/9/main" uri="{725AE2AE-9491-48be-B2B4-4EB974FC3084}">
      <x14:pivotCacheDefinition pivotCacheId="9565546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일정"/>
    <x v="0"/>
    <s v="프로모션"/>
    <x v="0"/>
    <n v="3"/>
    <s v="10:00 신제품 프로모션 미팅"/>
    <m/>
    <s v="회의실"/>
    <x v="0"/>
  </r>
  <r>
    <s v="할일"/>
    <x v="0"/>
    <s v="프로모션"/>
    <x v="1"/>
    <n v="2"/>
    <s v="블로그 초안 작성"/>
    <n v="0.9"/>
    <m/>
    <x v="1"/>
  </r>
  <r>
    <s v="할일"/>
    <x v="1"/>
    <s v="프로모션"/>
    <x v="2"/>
    <n v="1"/>
    <s v="블로그 포스팅"/>
    <n v="0.5"/>
    <m/>
    <x v="1"/>
  </r>
  <r>
    <s v="할일"/>
    <x v="2"/>
    <s v="프로모션"/>
    <x v="0"/>
    <n v="3"/>
    <s v="카드뉴스 기획"/>
    <n v="1"/>
    <m/>
    <x v="2"/>
  </r>
  <r>
    <s v="할일"/>
    <x v="3"/>
    <s v="프로모션"/>
    <x v="1"/>
    <n v="2"/>
    <s v="카드뉴스 초안 작성"/>
    <n v="1"/>
    <m/>
    <x v="2"/>
  </r>
  <r>
    <s v="할일"/>
    <x v="4"/>
    <s v="프로모션"/>
    <x v="2"/>
    <n v="1"/>
    <s v="카드뉴스 포스팅"/>
    <m/>
    <m/>
    <x v="0"/>
  </r>
  <r>
    <s v="할일"/>
    <x v="5"/>
    <s v="프로모션"/>
    <x v="0"/>
    <n v="3"/>
    <s v="이메일 뉴스레터 기획"/>
    <n v="0.25"/>
    <m/>
    <x v="1"/>
  </r>
  <r>
    <s v="할일"/>
    <x v="6"/>
    <s v="프로모션"/>
    <x v="1"/>
    <n v="2"/>
    <s v="이메일 뉴스레터 초안 작성"/>
    <m/>
    <m/>
    <x v="0"/>
  </r>
  <r>
    <s v="할일"/>
    <x v="7"/>
    <s v="프로모션"/>
    <x v="2"/>
    <n v="1"/>
    <s v="이메일 뉴스레터 발행"/>
    <m/>
    <m/>
    <x v="0"/>
  </r>
  <r>
    <s v="일정"/>
    <x v="8"/>
    <s v="프로모션"/>
    <x v="2"/>
    <n v="1"/>
    <s v="11:00 미팅"/>
    <n v="1"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1월"/>
  </r>
  <r>
    <x v="1"/>
    <s v="2월"/>
  </r>
  <r>
    <x v="2"/>
    <s v="3월"/>
  </r>
  <r>
    <x v="3"/>
    <s v="4월"/>
  </r>
  <r>
    <x v="4"/>
    <s v="5월"/>
  </r>
  <r>
    <x v="5"/>
    <s v="6월"/>
  </r>
  <r>
    <x v="6"/>
    <s v="7월"/>
  </r>
  <r>
    <x v="7"/>
    <s v="8월"/>
  </r>
  <r>
    <x v="8"/>
    <s v="9월"/>
  </r>
  <r>
    <x v="9"/>
    <s v="10월"/>
  </r>
  <r>
    <x v="10"/>
    <s v="11월"/>
  </r>
  <r>
    <x v="11"/>
    <s v="12월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</r>
  <r>
    <x v="1"/>
  </r>
  <r>
    <x v="2"/>
  </r>
  <r>
    <x v="3"/>
  </r>
  <r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</r>
  <r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62783-9CB1-449D-84BC-389637FB5DD5}" name="피벗 테이블5" cacheId="6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A9:AA11" firstHeaderRow="1" firstDataRow="1" firstDataCol="1"/>
  <pivotFields count="1">
    <pivotField axis="axisRow" showAll="0">
      <items count="3">
        <item h="1" x="1"/>
        <item x="0"/>
        <item t="default"/>
      </items>
    </pivotField>
  </pivotFields>
  <rowFields count="1">
    <field x="0"/>
  </rowFields>
  <rowItems count="2"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E7796-F6AB-4E5E-BBB4-54AAAEBCF33E}" name="피벗 테이블2" cacheId="67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F3:F5" firstHeaderRow="1" firstDataRow="1" firstDataCol="1"/>
  <pivotFields count="2">
    <pivotField axis="axisRow" showAll="0">
      <items count="13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</pivotFields>
  <rowFields count="1">
    <field x="0"/>
  </rowFields>
  <rowItems count="2"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350147-C8EE-49D2-AB19-D1CF6D7F576A}" name="피벗 테이블4" cacheId="67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D3:D5" firstHeaderRow="1" firstDataRow="1" firstDataCol="1"/>
  <pivotFields count="2">
    <pivotField axis="axisRow" showAll="0">
      <items count="13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t="default"/>
      </items>
    </pivotField>
    <pivotField showAll="0"/>
  </pivotFields>
  <rowFields count="1">
    <field x="0"/>
  </rowFields>
  <rowItems count="2">
    <i>
      <x v="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03B26-0E41-4E04-9563-CEDE42FF5672}" name="피벗 테이블6" cacheId="6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A2:AA4" firstHeaderRow="1" firstDataRow="1" firstDataCol="1"/>
  <pivotFields count="1">
    <pivotField axis="axisRow" showAll="0">
      <items count="3">
        <item x="1"/>
        <item h="1" x="0"/>
        <item t="default"/>
      </items>
    </pivotField>
  </pivotFields>
  <rowFields count="1">
    <field x="0"/>
  </rowFields>
  <rowItems count="2">
    <i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B2170-72F7-41EB-B124-417B878483CC}" name="피벗 테이블1" cacheId="6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9">
  <location ref="J13:N18" firstHeaderRow="1" firstDataRow="2" firstDataCol="1"/>
  <pivotFields count="9">
    <pivotField showAll="0"/>
    <pivotField axis="axisRow" numFmtId="1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Row" showAll="0">
      <items count="4">
        <item sd="0" x="0"/>
        <item sd="0" x="1"/>
        <item sd="0" x="2"/>
        <item t="default"/>
      </items>
    </pivotField>
    <pivotField showAll="0"/>
    <pivotField dataField="1" showAll="0"/>
    <pivotField showAll="0"/>
    <pivotField showAll="0"/>
    <pivotField axis="axisCol" showAll="0">
      <items count="4">
        <item x="0"/>
        <item x="2"/>
        <item x="1"/>
        <item t="default"/>
      </items>
    </pivotField>
  </pivotFields>
  <rowFields count="2">
    <field x="3"/>
    <field x="1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개수 : 업무" fld="5" subtotal="count" baseField="0" baseItem="0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DE9CA9-D164-4F05-BF5C-5669F789C465}" name="피벗 테이블3" cacheId="6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H3:H5" firstHeaderRow="1" firstDataRow="1" firstDataCol="1"/>
  <pivotFields count="1">
    <pivotField axis="axisRow" showAll="0">
      <items count="6">
        <item h="1" x="0"/>
        <item h="1" x="1"/>
        <item h="1" x="2"/>
        <item x="3"/>
        <item h="1" x="4"/>
        <item t="default"/>
      </items>
    </pivotField>
  </pivotFields>
  <rowFields count="1">
    <field x="0"/>
  </rowFields>
  <rowItems count="2">
    <i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월" xr10:uid="{E71333D4-5015-4329-9142-0F3E4D755771}" sourceName="월">
  <pivotTables>
    <pivotTable tabId="2" name="피벗 테이블4"/>
  </pivotTables>
  <data>
    <tabular pivotCacheId="1283862498">
      <items count="12">
        <i x="0"/>
        <i x="1"/>
        <i x="2"/>
        <i x="3"/>
        <i x="4"/>
        <i x="5"/>
        <i x="6"/>
        <i x="7"/>
        <i x="8" s="1"/>
        <i x="9"/>
        <i x="10"/>
        <i x="1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날짜" xr10:uid="{0986CE80-9D56-4222-96EF-5D9C3290701E}" sourceName="날짜">
  <pivotTables>
    <pivotTable tabId="2" name="피벗 테이블1"/>
  </pivotTables>
  <data>
    <tabular pivotCacheId="1719890776" sortOrder="descending">
      <items count="9">
        <i x="8" s="1"/>
        <i x="7" s="1"/>
        <i x="6" s="1"/>
        <i x="5" s="1"/>
        <i x="4" s="1"/>
        <i x="3" s="1"/>
        <i x="2" s="1"/>
        <i x="1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시작일" xr10:uid="{5E95470E-AC81-4B0B-9456-25449132C6F3}" sourceName="시작일">
  <pivotTables>
    <pivotTable tabId="2" name="피벗 테이블6"/>
  </pivotTables>
  <data>
    <tabular pivotCacheId="956554630">
      <items count="2">
        <i x="1" s="1"/>
        <i x="0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카테고리" xr10:uid="{82413243-D6BC-4949-8B73-65281F2DEAC6}" sourceName="카테고리">
  <extLst>
    <x:ext xmlns:x15="http://schemas.microsoft.com/office/spreadsheetml/2010/11/main" uri="{2F2917AC-EB37-4324-AD4E-5DD8C200BD13}">
      <x15:tableSlicerCache tableId="1" column="7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우선순위1" xr10:uid="{362A1039-DB76-4693-85C9-615006135DF6}" sourceName="우선순위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구분" xr10:uid="{ABEC9A6F-3FCD-4B80-856C-32F3B994A81F}" sourceName="구분">
  <extLst>
    <x:ext xmlns:x15="http://schemas.microsoft.com/office/spreadsheetml/2010/11/main" uri="{2F2917AC-EB37-4324-AD4E-5DD8C200BD13}">
      <x15:tableSlicerCache tableId="1" column="8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진행상태" xr10:uid="{6EE9C056-007E-48A0-B242-38D9C6E6E546}" sourceName="상태">
  <extLst>
    <x:ext xmlns:x15="http://schemas.microsoft.com/office/spreadsheetml/2010/11/main" uri="{2F2917AC-EB37-4324-AD4E-5DD8C200BD13}">
      <x15:tableSlicerCache tableId="1" column="9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월" xr10:uid="{43E66864-C0DE-41FE-8CBE-AFCFBA0CCD8B}" cache="슬라이서_월" caption="월" columnCount="2" style="SlicerStyleLight6 2 3" rowHeight="432000"/>
  <slicer name="시작일" xr10:uid="{735D1AC4-59B4-44BC-8A80-43123C919D3D}" cache="슬라이서_시작일" caption="시작일" columnCount="2" style="SlicerStyleLight6 2 3" rowHeight="432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날짜" xr10:uid="{C483E103-A991-497E-B5B8-2993CBC08C0C}" cache="슬라이서_날짜" caption="날짜" style="SlicerStyleLight2 3 2 2" rowHeight="283633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카테고리" xr10:uid="{C40E07DB-BAC3-4B8F-8502-21272C1993BB}" cache="슬라이서_카테고리" caption="카테고리" columnCount="2" style="SlicerStyleLight2 3 2 2" rowHeight="288000"/>
  <slicer name="우선순위 1" xr10:uid="{FF4A0B75-DF63-4FB5-892E-3D0D09662E91}" cache="슬라이서_우선순위1" caption="우선순위" columnCount="3" style="SlicerStyleLight2 3 2 2" rowHeight="288000"/>
  <slicer name="구분" xr10:uid="{1D4FB5C0-4A17-4C6C-8DF9-5D6E432A11F3}" cache="슬라이서_구분" caption="구분" columnCount="2" style="SlicerStyleLight2 3 2 2" rowHeight="288000"/>
  <slicer name="진행상태" xr10:uid="{F59D677C-F1BF-4AC9-9BCA-F0C1943877CA}" cache="슬라이서_진행상태" caption="상태" columnCount="3" style="SlicerStyleLight2 3 2 2" rowHeight="288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230FC9-F199-491E-8B3C-BE19475415CA}" name="할일표" displayName="할일표" ref="B9:J19" headerRowDxfId="29" totalsRowDxfId="26" headerRowBorderDxfId="28" tableBorderDxfId="27" totalsRowBorderDxfId="25">
  <autoFilter ref="B9:J19" xr:uid="{FB230FC9-F199-491E-8B3C-BE19475415CA}"/>
  <tableColumns count="9">
    <tableColumn id="8" xr3:uid="{454CD8EF-CAB2-4765-A6CE-A0858F1A84DB}" name="구분" dataDxfId="24"/>
    <tableColumn id="1" xr3:uid="{CC3DA3FB-E8C7-465B-9EBA-5464C0509D8E}" name="날짜" totalsRowLabel="2025-07-12" dataDxfId="23"/>
    <tableColumn id="7" xr3:uid="{6FD9545A-1E26-4744-9559-4F6C7B094281}" name="카테고리" dataDxfId="22"/>
    <tableColumn id="3" xr3:uid="{B161B2C6-7CAD-49BB-AA8C-B22A44099D36}" name="우선순위" dataDxfId="21"/>
    <tableColumn id="10" xr3:uid="{FD7483D0-887E-41BE-B306-F3594653E252}" name="표시" dataDxfId="20">
      <calculatedColumnFormula>IFERROR(MATCH($E10,{"낮음","중간","높음"},0),"")</calculatedColumnFormula>
    </tableColumn>
    <tableColumn id="4" xr3:uid="{04903EFB-93E4-4E4D-AAA6-5F4B90C5AD15}" name="업무" dataDxfId="19"/>
    <tableColumn id="5" xr3:uid="{11404E87-DAC2-4C1C-9DE6-C7CD5CFFB441}" name="진행률" dataDxfId="18"/>
    <tableColumn id="2" xr3:uid="{D4008427-0E8B-4B52-BA28-9DCF92826A10}" name="비고" dataDxfId="17"/>
    <tableColumn id="9" xr3:uid="{6B41E9DF-BD29-4B04-9852-155F2833149F}" name="상태" dataDxfId="16">
      <calculatedColumnFormula>IF(H10=1,"완료",IF(H10=0,"시작전","진행중"))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EF3E26-E35F-4690-A3F1-62E9F710A4D9}" name="구분표" displayName="구분표" ref="B7:C9" totalsRowShown="0" headerRowDxfId="15" dataDxfId="14">
  <tableColumns count="2">
    <tableColumn id="1" xr3:uid="{ACBFF622-75D2-421C-94B0-9C3822C14222}" name="구분" dataDxfId="13"/>
    <tableColumn id="2" xr3:uid="{EC2D7FE5-C282-44D2-BE30-C980CC6C2065}" name="아이콘" dataDxfId="1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사용자 지정 5">
      <a:dk1>
        <a:sysClr val="windowText" lastClr="000000"/>
      </a:dk1>
      <a:lt1>
        <a:sysClr val="window" lastClr="FFFFFF"/>
      </a:lt1>
      <a:dk2>
        <a:srgbClr val="0E2841"/>
      </a:dk2>
      <a:lt2>
        <a:srgbClr val="27A86F"/>
      </a:lt2>
      <a:accent1>
        <a:srgbClr val="F0E936"/>
      </a:accent1>
      <a:accent2>
        <a:srgbClr val="40D492"/>
      </a:accent2>
      <a:accent3>
        <a:srgbClr val="F9B710"/>
      </a:accent3>
      <a:accent4>
        <a:srgbClr val="FE1684"/>
      </a:accent4>
      <a:accent5>
        <a:srgbClr val="9237BC"/>
      </a:accent5>
      <a:accent6>
        <a:srgbClr val="4633F2"/>
      </a:accent6>
      <a:hlink>
        <a:srgbClr val="3285F3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4" Type="http://schemas.microsoft.com/office/2007/relationships/slicer" Target="../slicers/slicer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b6i5gk.short.gy/manual_1.0_google" TargetMode="External"/><Relationship Id="rId3" Type="http://schemas.openxmlformats.org/officeDocument/2006/relationships/hyperlink" Target="https://b6i5gk.short.gy/free_survey" TargetMode="External"/><Relationship Id="rId7" Type="http://schemas.openxmlformats.org/officeDocument/2006/relationships/hyperlink" Target="https://litt.ly/zzan_excel" TargetMode="External"/><Relationship Id="rId2" Type="http://schemas.openxmlformats.org/officeDocument/2006/relationships/hyperlink" Target="https://b6i5gk.short.gy/blog" TargetMode="External"/><Relationship Id="rId1" Type="http://schemas.openxmlformats.org/officeDocument/2006/relationships/hyperlink" Target="https://b6i5gk.short.gy/threads" TargetMode="External"/><Relationship Id="rId6" Type="http://schemas.openxmlformats.org/officeDocument/2006/relationships/hyperlink" Target="https://b6i5gk.short.gy/manual_2.0" TargetMode="External"/><Relationship Id="rId5" Type="http://schemas.openxmlformats.org/officeDocument/2006/relationships/hyperlink" Target="https://b6i5gk.short.gy/Instagram" TargetMode="External"/><Relationship Id="rId4" Type="http://schemas.openxmlformats.org/officeDocument/2006/relationships/hyperlink" Target="https://b6i5gk.short.gy/youtube" TargetMode="External"/><Relationship Id="rId9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82D7B-2AB7-4EB9-8B3E-CC6D7F936559}">
  <sheetPr codeName="Sheet11">
    <tabColor theme="5" tint="0.79998168889431442"/>
  </sheetPr>
  <dimension ref="B1:AQ56"/>
  <sheetViews>
    <sheetView showGridLines="0" zoomScale="55" zoomScaleNormal="55" workbookViewId="0"/>
  </sheetViews>
  <sheetFormatPr defaultColWidth="8.58203125" defaultRowHeight="17.5" x14ac:dyDescent="0.45"/>
  <cols>
    <col min="1" max="1" width="4.1640625" style="45" customWidth="1"/>
    <col min="2" max="2" width="4.58203125" style="65" customWidth="1"/>
    <col min="3" max="3" width="3.5" style="65" customWidth="1"/>
    <col min="4" max="4" width="34.5" style="44" customWidth="1"/>
    <col min="5" max="5" width="4.4140625" style="65" customWidth="1"/>
    <col min="6" max="6" width="4.58203125" style="65" customWidth="1"/>
    <col min="7" max="7" width="3.5" style="65" customWidth="1"/>
    <col min="8" max="8" width="34.5" style="44" customWidth="1"/>
    <col min="9" max="9" width="4.4140625" style="65" customWidth="1"/>
    <col min="10" max="10" width="4.58203125" style="65" customWidth="1"/>
    <col min="11" max="11" width="3.5" style="65" customWidth="1"/>
    <col min="12" max="12" width="34.5" style="44" customWidth="1"/>
    <col min="13" max="13" width="4.4140625" style="65" customWidth="1"/>
    <col min="14" max="14" width="4.58203125" style="65" customWidth="1"/>
    <col min="15" max="15" width="3.5" style="65" customWidth="1"/>
    <col min="16" max="16" width="34.5" style="44" customWidth="1"/>
    <col min="17" max="17" width="4.4140625" style="65" customWidth="1"/>
    <col min="18" max="18" width="4.58203125" style="65" customWidth="1"/>
    <col min="19" max="19" width="3.5" style="65" customWidth="1"/>
    <col min="20" max="20" width="34.5" style="44" customWidth="1"/>
    <col min="21" max="21" width="4.4140625" style="65" customWidth="1"/>
    <col min="22" max="22" width="4.58203125" style="65" customWidth="1"/>
    <col min="23" max="23" width="3.5" style="65" customWidth="1"/>
    <col min="24" max="24" width="34.5" style="44" customWidth="1"/>
    <col min="25" max="25" width="4.4140625" style="65" customWidth="1"/>
    <col min="26" max="26" width="4.58203125" style="65" customWidth="1"/>
    <col min="27" max="27" width="3.5" style="65" customWidth="1"/>
    <col min="28" max="28" width="34.5" style="44" customWidth="1"/>
    <col min="29" max="29" width="4.4140625" style="65" customWidth="1"/>
    <col min="30" max="31" width="8.58203125" style="45" customWidth="1"/>
    <col min="32" max="32" width="13.25" style="45" customWidth="1"/>
    <col min="33" max="33" width="8.58203125" style="45"/>
    <col min="34" max="34" width="8.58203125" style="45" customWidth="1"/>
    <col min="35" max="43" width="3" style="45" customWidth="1"/>
    <col min="44" max="16384" width="8.58203125" style="45"/>
  </cols>
  <sheetData>
    <row r="1" spans="2:43" ht="20.5" customHeight="1" x14ac:dyDescent="0.45"/>
    <row r="2" spans="2:43" ht="20.5" customHeight="1" x14ac:dyDescent="0.45">
      <c r="T2" s="66"/>
      <c r="U2" s="67"/>
      <c r="V2" s="67"/>
      <c r="W2" s="67"/>
      <c r="X2" s="66"/>
      <c r="Y2" s="67"/>
      <c r="Z2" s="67"/>
      <c r="AA2" s="67"/>
      <c r="AB2" s="66"/>
    </row>
    <row r="3" spans="2:43" ht="20.5" customHeight="1" x14ac:dyDescent="0.45">
      <c r="T3" s="66"/>
      <c r="U3" s="67"/>
      <c r="V3" s="67"/>
      <c r="W3" s="67"/>
      <c r="X3" s="66"/>
      <c r="Y3" s="67"/>
      <c r="Z3" s="67"/>
      <c r="AA3" s="67"/>
      <c r="AB3" s="66"/>
    </row>
    <row r="4" spans="2:43" ht="20.5" customHeight="1" x14ac:dyDescent="0.45">
      <c r="T4" s="66"/>
      <c r="U4" s="67"/>
      <c r="V4" s="67"/>
      <c r="W4" s="67"/>
      <c r="X4" s="66"/>
      <c r="Y4" s="67"/>
      <c r="Z4" s="67"/>
      <c r="AA4" s="67"/>
      <c r="AB4" s="66"/>
    </row>
    <row r="5" spans="2:43" ht="32" customHeight="1" x14ac:dyDescent="0.45">
      <c r="T5" s="66"/>
      <c r="U5" s="67"/>
      <c r="V5" s="67"/>
      <c r="W5" s="67"/>
      <c r="X5" s="66"/>
      <c r="Y5" s="67"/>
      <c r="Z5" s="67"/>
      <c r="AA5" s="67"/>
      <c r="AB5" s="66"/>
    </row>
    <row r="6" spans="2:43" ht="26.5" customHeight="1" x14ac:dyDescent="0.45">
      <c r="B6" s="68" t="str">
        <f>UPPER(TEXT(B7,"ddd"))</f>
        <v>SUN</v>
      </c>
      <c r="C6" s="69"/>
      <c r="D6" s="70"/>
      <c r="E6" s="69"/>
      <c r="F6" s="68" t="str">
        <f>UPPER(TEXT(F7,"ddd"))</f>
        <v>MON</v>
      </c>
      <c r="G6" s="69"/>
      <c r="H6" s="69"/>
      <c r="I6" s="69"/>
      <c r="J6" s="68" t="str">
        <f>UPPER(TEXT(J7,"ddd"))</f>
        <v>TUE</v>
      </c>
      <c r="K6" s="69"/>
      <c r="L6" s="69"/>
      <c r="M6" s="69"/>
      <c r="N6" s="68" t="str">
        <f>UPPER(TEXT(N7,"ddd"))</f>
        <v>WED</v>
      </c>
      <c r="O6" s="69"/>
      <c r="P6" s="69"/>
      <c r="Q6" s="69"/>
      <c r="R6" s="68" t="str">
        <f>UPPER(TEXT(R7,"ddd"))</f>
        <v>THU</v>
      </c>
      <c r="S6" s="69"/>
      <c r="T6" s="69"/>
      <c r="U6" s="69"/>
      <c r="V6" s="68" t="str">
        <f>UPPER(TEXT(V7,"ddd"))</f>
        <v>FRI</v>
      </c>
      <c r="W6" s="69"/>
      <c r="X6" s="69"/>
      <c r="Y6" s="69"/>
      <c r="Z6" s="68" t="str">
        <f>UPPER(TEXT(Z7,"ddd"))</f>
        <v>SAT</v>
      </c>
      <c r="AA6" s="69"/>
      <c r="AB6" s="69"/>
      <c r="AC6" s="69"/>
    </row>
    <row r="7" spans="2:43" s="44" customFormat="1" ht="23.5" customHeight="1" x14ac:dyDescent="0.45">
      <c r="B7" s="71">
        <f>피벗!V3-피벗!W3+IF(피벗!AA3="월요일",2,1)</f>
        <v>46264</v>
      </c>
      <c r="C7" s="72"/>
      <c r="D7" s="72"/>
      <c r="E7" s="73"/>
      <c r="F7" s="71">
        <f>B7+1</f>
        <v>46265</v>
      </c>
      <c r="G7" s="72"/>
      <c r="H7" s="72"/>
      <c r="I7" s="73"/>
      <c r="J7" s="71">
        <f>F7+1</f>
        <v>46266</v>
      </c>
      <c r="K7" s="72"/>
      <c r="L7" s="72"/>
      <c r="M7" s="73"/>
      <c r="N7" s="71">
        <f>J7+1</f>
        <v>46267</v>
      </c>
      <c r="O7" s="72"/>
      <c r="P7" s="72"/>
      <c r="Q7" s="73"/>
      <c r="R7" s="71">
        <f>N7+1</f>
        <v>46268</v>
      </c>
      <c r="S7" s="72"/>
      <c r="T7" s="72"/>
      <c r="U7" s="73"/>
      <c r="V7" s="71">
        <f>R7+1</f>
        <v>46269</v>
      </c>
      <c r="W7" s="72"/>
      <c r="X7" s="72"/>
      <c r="Y7" s="73"/>
      <c r="Z7" s="71">
        <f>V7+1</f>
        <v>46270</v>
      </c>
      <c r="AA7" s="72"/>
      <c r="AB7" s="72"/>
      <c r="AC7" s="73"/>
      <c r="AI7" s="46"/>
      <c r="AJ7" s="46"/>
      <c r="AK7" s="46"/>
      <c r="AL7" s="46"/>
      <c r="AM7" s="47">
        <f t="shared" ref="AM7:AM13" ca="1" si="0">RAND()</f>
        <v>0.88101880271580457</v>
      </c>
      <c r="AN7" s="46"/>
      <c r="AO7" s="46"/>
      <c r="AP7" s="46"/>
      <c r="AQ7" s="46"/>
    </row>
    <row r="8" spans="2:43" s="48" customFormat="1" ht="21" customHeight="1" x14ac:dyDescent="0.45">
      <c r="B8" s="74" t="str">
        <f t="array" ref="B8">IFERROR(IF(COUNTIFS(할일표[날짜],B$7,할일표[업무],"&lt;&gt;")&lt;1,"",INDEX(구분표[아이콘],MATCH(INDEX(할일표[구분],SMALL(IF((할일표[날짜]=B$7)*(할일표[업무]&lt;&gt;""),ROW(할일표[구분])-ROW(INDEX(할일표[구분],1))+1),1)),구분표[구분],0))),"")</f>
        <v/>
      </c>
      <c r="C8" s="75" t="str">
        <f t="array" ref="C8">IFERROR(IF(COUNTIFS(할일표[날짜],B$7,할일표[업무],"&lt;&gt;")&lt;1,"",INDEX(할일표[표시],SMALL(IF((할일표[날짜]=B$7)*(할일표[업무]&lt;&gt;""),ROW(할일표[표시])-ROW(INDEX(할일표[표시],1))+1),1))),"")</f>
        <v/>
      </c>
      <c r="D8" s="80" t="str">
        <f t="array" ref="D8">IFERROR(IF(COUNTIFS(할일표[날짜],B$7,할일표[업무],"&lt;&gt;")&lt;1,"",INDEX(할일표[업무],SMALL(IF((할일표[날짜]=B$7)*(할일표[업무]&lt;&gt;""),ROW(할일표[날짜])-피벗!$T$11),1))),"")</f>
        <v/>
      </c>
      <c r="E8" s="76" t="str">
        <f t="array" ref="E8">IFERROR(IF(COUNTIFS(할일표[날짜],B$7,할일표[업무],"&lt;&gt;")&lt;1,"",INDEX(할일표[진행률],SMALL(IF((할일표[날짜]=B$7)*(할일표[업무]&lt;&gt;""),ROW(할일표[날짜])-피벗!$T$11),1))),"")</f>
        <v/>
      </c>
      <c r="F8" s="74" t="str">
        <f t="array" ref="F8">IFERROR(IF(COUNTIFS(할일표[날짜],F$7,할일표[업무],"&lt;&gt;")&lt;1,"",INDEX(구분표[아이콘],MATCH(INDEX(할일표[구분],SMALL(IF((할일표[날짜]=F$7)*(할일표[업무]&lt;&gt;""),ROW(할일표[구분])-ROW(INDEX(할일표[구분],1))+1),1)),구분표[구분],0))),"")</f>
        <v/>
      </c>
      <c r="G8" s="75" t="str">
        <f t="array" ref="G8">IFERROR(IF(COUNTIFS(할일표[날짜],F$7,할일표[업무],"&lt;&gt;")&lt;1,"",INDEX(할일표[표시],SMALL(IF((할일표[날짜]=F$7)*(할일표[업무]&lt;&gt;""),ROW(할일표[표시])-ROW(INDEX(할일표[표시],1))+1),1))),"")</f>
        <v/>
      </c>
      <c r="H8" s="80" t="str">
        <f t="array" ref="H8">IFERROR(IF(COUNTIFS(할일표[날짜],F$7,할일표[업무],"&lt;&gt;")&lt;1,"",INDEX(할일표[업무],SMALL(IF((할일표[날짜]=F$7)*(할일표[업무]&lt;&gt;""),ROW(할일표[날짜])-피벗!$T$11),1))),"")</f>
        <v/>
      </c>
      <c r="I8" s="76" t="str">
        <f t="array" ref="I8">IFERROR(IF(COUNTIFS(할일표[날짜],F$7,할일표[업무],"&lt;&gt;")&lt;1,"",INDEX(할일표[진행률],SMALL(IF((할일표[날짜]=F$7)*(할일표[업무]&lt;&gt;""),ROW(할일표[날짜])-피벗!$T$11),1))),"")</f>
        <v/>
      </c>
      <c r="J8" s="74" t="str">
        <f t="array" ref="J8">IFERROR(IF(COUNTIFS(할일표[날짜],J$7,할일표[업무],"&lt;&gt;")&lt;1,"",INDEX(구분표[아이콘],MATCH(INDEX(할일표[구분],SMALL(IF((할일표[날짜]=J$7)*(할일표[업무]&lt;&gt;""),ROW(할일표[구분])-ROW(INDEX(할일표[구분],1))+1),1)),구분표[구분],0))),"")</f>
        <v/>
      </c>
      <c r="K8" s="75" t="str">
        <f t="array" ref="K8">IFERROR(IF(COUNTIFS(할일표[날짜],J$7,할일표[업무],"&lt;&gt;")&lt;1,"",INDEX(할일표[표시],SMALL(IF((할일표[날짜]=J$7)*(할일표[업무]&lt;&gt;""),ROW(할일표[표시])-ROW(INDEX(할일표[표시],1))+1),1))),"")</f>
        <v/>
      </c>
      <c r="L8" s="80" t="str">
        <f t="array" ref="L8">IFERROR(IF(COUNTIFS(할일표[날짜],J$7,할일표[업무],"&lt;&gt;")&lt;1,"",INDEX(할일표[업무],SMALL(IF((할일표[날짜]=J$7)*(할일표[업무]&lt;&gt;""),ROW(할일표[날짜])-피벗!$T$11),1))),"")</f>
        <v/>
      </c>
      <c r="M8" s="76" t="str">
        <f t="array" ref="M8">IFERROR(IF(COUNTIFS(할일표[날짜],J$7,할일표[업무],"&lt;&gt;")&lt;1,"",INDEX(할일표[진행률],SMALL(IF((할일표[날짜]=J$7)*(할일표[업무]&lt;&gt;""),ROW(할일표[날짜])-피벗!$T$11),1))),"")</f>
        <v/>
      </c>
      <c r="N8" s="74" t="str">
        <f t="array" ref="N8">IFERROR(IF(COUNTIFS(할일표[날짜],N$7,할일표[업무],"&lt;&gt;")&lt;1,"",INDEX(구분표[아이콘],MATCH(INDEX(할일표[구분],SMALL(IF((할일표[날짜]=N$7)*(할일표[업무]&lt;&gt;""),ROW(할일표[구분])-ROW(INDEX(할일표[구분],1))+1),1)),구분표[구분],0))),"")</f>
        <v/>
      </c>
      <c r="O8" s="75" t="str">
        <f t="array" ref="O8">IFERROR(IF(COUNTIFS(할일표[날짜],N$7,할일표[업무],"&lt;&gt;")&lt;1,"",INDEX(할일표[표시],SMALL(IF((할일표[날짜]=N$7)*(할일표[업무]&lt;&gt;""),ROW(할일표[표시])-ROW(INDEX(할일표[표시],1))+1),1))),"")</f>
        <v/>
      </c>
      <c r="P8" s="80" t="str">
        <f t="array" ref="P8">IFERROR(IF(COUNTIFS(할일표[날짜],N$7,할일표[업무],"&lt;&gt;")&lt;1,"",INDEX(할일표[업무],SMALL(IF((할일표[날짜]=N$7)*(할일표[업무]&lt;&gt;""),ROW(할일표[날짜])-피벗!$T$11),1))),"")</f>
        <v/>
      </c>
      <c r="Q8" s="76" t="str">
        <f t="array" ref="Q8">IFERROR(IF(COUNTIFS(할일표[날짜],N$7,할일표[업무],"&lt;&gt;")&lt;1,"",INDEX(할일표[진행률],SMALL(IF((할일표[날짜]=N$7)*(할일표[업무]&lt;&gt;""),ROW(할일표[날짜])-피벗!$T$11),1))),"")</f>
        <v/>
      </c>
      <c r="R8" s="74" t="str">
        <f t="array" ref="R8">IFERROR(IF(COUNTIFS(할일표[날짜],R$7,할일표[업무],"&lt;&gt;")&lt;1,"",INDEX(구분표[아이콘],MATCH(INDEX(할일표[구분],SMALL(IF((할일표[날짜]=R$7)*(할일표[업무]&lt;&gt;""),ROW(할일표[구분])-ROW(INDEX(할일표[구분],1))+1),1)),구분표[구분],0))),"")</f>
        <v/>
      </c>
      <c r="S8" s="75" t="str">
        <f t="array" ref="S8">IFERROR(IF(COUNTIFS(할일표[날짜],R$7,할일표[업무],"&lt;&gt;")&lt;1,"",INDEX(할일표[표시],SMALL(IF((할일표[날짜]=R$7)*(할일표[업무]&lt;&gt;""),ROW(할일표[표시])-ROW(INDEX(할일표[표시],1))+1),1))),"")</f>
        <v/>
      </c>
      <c r="T8" s="80" t="str">
        <f t="array" ref="T8">IFERROR(IF(COUNTIFS(할일표[날짜],R$7,할일표[업무],"&lt;&gt;")&lt;1,"",INDEX(할일표[업무],SMALL(IF((할일표[날짜]=R$7)*(할일표[업무]&lt;&gt;""),ROW(할일표[날짜])-피벗!$T$11),1))),"")</f>
        <v/>
      </c>
      <c r="U8" s="76" t="str">
        <f t="array" ref="U8">IFERROR(IF(COUNTIFS(할일표[날짜],R$7,할일표[업무],"&lt;&gt;")&lt;1,"",INDEX(할일표[진행률],SMALL(IF((할일표[날짜]=R$7)*(할일표[업무]&lt;&gt;""),ROW(할일표[날짜])-피벗!$T$11),1))),"")</f>
        <v/>
      </c>
      <c r="V8" s="74" t="str">
        <f t="array" ref="V8">IFERROR(IF(COUNTIFS(할일표[날짜],V$7,할일표[업무],"&lt;&gt;")&lt;1,"",INDEX(구분표[아이콘],MATCH(INDEX(할일표[구분],SMALL(IF((할일표[날짜]=V$7)*(할일표[업무]&lt;&gt;""),ROW(할일표[구분])-ROW(INDEX(할일표[구분],1))+1),1)),구분표[구분],0))),"")</f>
        <v/>
      </c>
      <c r="W8" s="75" t="str">
        <f t="array" ref="W8">IFERROR(IF(COUNTIFS(할일표[날짜],V$7,할일표[업무],"&lt;&gt;")&lt;1,"",INDEX(할일표[표시],SMALL(IF((할일표[날짜]=V$7)*(할일표[업무]&lt;&gt;""),ROW(할일표[표시])-ROW(INDEX(할일표[표시],1))+1),1))),"")</f>
        <v/>
      </c>
      <c r="X8" s="80" t="str">
        <f t="array" ref="X8">IFERROR(IF(COUNTIFS(할일표[날짜],V$7,할일표[업무],"&lt;&gt;")&lt;1,"",INDEX(할일표[업무],SMALL(IF((할일표[날짜]=V$7)*(할일표[업무]&lt;&gt;""),ROW(할일표[날짜])-피벗!$T$11),1))),"")</f>
        <v/>
      </c>
      <c r="Y8" s="76" t="str">
        <f t="array" ref="Y8">IFERROR(IF(COUNTIFS(할일표[날짜],V$7,할일표[업무],"&lt;&gt;")&lt;1,"",INDEX(할일표[진행률],SMALL(IF((할일표[날짜]=V$7)*(할일표[업무]&lt;&gt;""),ROW(할일표[날짜])-피벗!$T$11),1))),"")</f>
        <v/>
      </c>
      <c r="Z8" s="74" t="str">
        <f t="array" ref="Z8">IFERROR(IF(COUNTIFS(할일표[날짜],Z$7,할일표[업무],"&lt;&gt;")&lt;1,"",INDEX(구분표[아이콘],MATCH(INDEX(할일표[구분],SMALL(IF((할일표[날짜]=Z$7)*(할일표[업무]&lt;&gt;""),ROW(할일표[구분])-ROW(INDEX(할일표[구분],1))+1),1)),구분표[구분],0))),"")</f>
        <v/>
      </c>
      <c r="AA8" s="75" t="str">
        <f t="array" ref="AA8">IFERROR(IF(COUNTIFS(할일표[날짜],Z$7,할일표[업무],"&lt;&gt;")&lt;1,"",INDEX(할일표[표시],SMALL(IF((할일표[날짜]=Z$7)*(할일표[업무]&lt;&gt;""),ROW(할일표[표시])-ROW(INDEX(할일표[표시],1))+1),1))),"")</f>
        <v/>
      </c>
      <c r="AB8" s="80" t="str">
        <f t="array" ref="AB8">IFERROR(IF(COUNTIFS(할일표[날짜],Z$7,할일표[업무],"&lt;&gt;")&lt;1,"",INDEX(할일표[업무],SMALL(IF((할일표[날짜]=Z$7)*(할일표[업무]&lt;&gt;""),ROW(할일표[날짜])-피벗!$T$11),1))),"")</f>
        <v/>
      </c>
      <c r="AC8" s="76" t="str">
        <f t="array" ref="AC8">IFERROR(IF(COUNTIFS(할일표[날짜],Z$7,할일표[업무],"&lt;&gt;")&lt;1,"",INDEX(할일표[진행률],SMALL(IF((할일표[날짜]=Z$7)*(할일표[업무]&lt;&gt;""),ROW(할일표[날짜])-피벗!$T$11),1))),"")</f>
        <v/>
      </c>
      <c r="AI8" s="49"/>
      <c r="AJ8" s="49"/>
      <c r="AK8" s="49"/>
      <c r="AL8" s="50">
        <f t="shared" ref="AL8:AL13" ca="1" si="1">RAND()</f>
        <v>0.15094834817112524</v>
      </c>
      <c r="AM8" s="50">
        <f t="shared" ca="1" si="0"/>
        <v>0.25580971590102508</v>
      </c>
      <c r="AN8" s="50">
        <f t="shared" ref="AN8:AN13" ca="1" si="2">RAND()</f>
        <v>0.52156364729959626</v>
      </c>
      <c r="AO8" s="49"/>
      <c r="AP8" s="49"/>
      <c r="AQ8" s="49"/>
    </row>
    <row r="9" spans="2:43" s="48" customFormat="1" ht="21" customHeight="1" x14ac:dyDescent="0.45">
      <c r="B9" s="74" t="str">
        <f t="array" ref="B9">IFERROR(IF(COUNTIFS(할일표[날짜],B$7,할일표[업무],"&lt;&gt;")&lt;2,"",INDEX(구분표[아이콘],MATCH(INDEX(할일표[구분],SMALL(IF((할일표[날짜]=B$7)*(할일표[업무]&lt;&gt;""),ROW(할일표[구분])-ROW(INDEX(할일표[구분],1))+1),2)),구분표[구분],0))),"")</f>
        <v/>
      </c>
      <c r="C9" s="75" t="str">
        <f t="array" ref="C9">IFERROR(IF(COUNTIFS(할일표[날짜],B$7,할일표[업무],"&lt;&gt;")&lt;2,"",INDEX(할일표[표시],SMALL(IF((할일표[날짜]=B$7)*(할일표[업무]&lt;&gt;""),ROW(할일표[표시])-ROW(INDEX(할일표[표시],1))+1),2))),"")</f>
        <v/>
      </c>
      <c r="D9" s="80" t="str">
        <f t="array" ref="D9">IFERROR(IF(COUNTIFS(할일표[날짜],B$7,할일표[업무],"&lt;&gt;")&lt;2,"",INDEX(할일표[업무],SMALL(IF((할일표[날짜]=B$7)*(할일표[업무]&lt;&gt;""),ROW(할일표[날짜])-피벗!$T$11),2))),"")</f>
        <v/>
      </c>
      <c r="E9" s="76" t="str">
        <f t="array" ref="E9">IFERROR(IF(COUNTIFS(할일표[날짜],B$7,할일표[업무],"&lt;&gt;")&lt;2,"",INDEX(할일표[진행률],SMALL(IF((할일표[날짜]=B$7)*(할일표[업무]&lt;&gt;""),ROW(할일표[날짜])-피벗!$T$11),2))),"")</f>
        <v/>
      </c>
      <c r="F9" s="74" t="str">
        <f t="array" ref="F9">IFERROR(IF(COUNTIFS(할일표[날짜],F$7,할일표[업무],"&lt;&gt;")&lt;2,"",INDEX(구분표[아이콘],MATCH(INDEX(할일표[구분],SMALL(IF((할일표[날짜]=F$7)*(할일표[업무]&lt;&gt;""),ROW(할일표[구분])-ROW(INDEX(할일표[구분],1))+1),2)),구분표[구분],0))),"")</f>
        <v/>
      </c>
      <c r="G9" s="75" t="str">
        <f t="array" ref="G9">IFERROR(IF(COUNTIFS(할일표[날짜],F$7,할일표[업무],"&lt;&gt;")&lt;2,"",INDEX(할일표[표시],SMALL(IF((할일표[날짜]=F$7)*(할일표[업무]&lt;&gt;""),ROW(할일표[표시])-ROW(INDEX(할일표[표시],1))+1),2))),"")</f>
        <v/>
      </c>
      <c r="H9" s="80" t="str">
        <f t="array" ref="H9">IFERROR(IF(COUNTIFS(할일표[날짜],F$7,할일표[업무],"&lt;&gt;")&lt;2,"",INDEX(할일표[업무],SMALL(IF((할일표[날짜]=F$7)*(할일표[업무]&lt;&gt;""),ROW(할일표[날짜])-피벗!$T$11),2))),"")</f>
        <v/>
      </c>
      <c r="I9" s="76" t="str">
        <f t="array" ref="I9">IFERROR(IF(COUNTIFS(할일표[날짜],F$7,할일표[업무],"&lt;&gt;")&lt;2,"",INDEX(할일표[진행률],SMALL(IF((할일표[날짜]=F$7)*(할일표[업무]&lt;&gt;""),ROW(할일표[날짜])-피벗!$T$11),2))),"")</f>
        <v/>
      </c>
      <c r="J9" s="74" t="str">
        <f t="array" ref="J9">IFERROR(IF(COUNTIFS(할일표[날짜],J$7,할일표[업무],"&lt;&gt;")&lt;2,"",INDEX(구분표[아이콘],MATCH(INDEX(할일표[구분],SMALL(IF((할일표[날짜]=J$7)*(할일표[업무]&lt;&gt;""),ROW(할일표[구분])-ROW(INDEX(할일표[구분],1))+1),2)),구분표[구분],0))),"")</f>
        <v/>
      </c>
      <c r="K9" s="75" t="str">
        <f t="array" ref="K9">IFERROR(IF(COUNTIFS(할일표[날짜],J$7,할일표[업무],"&lt;&gt;")&lt;2,"",INDEX(할일표[표시],SMALL(IF((할일표[날짜]=J$7)*(할일표[업무]&lt;&gt;""),ROW(할일표[표시])-ROW(INDEX(할일표[표시],1))+1),2))),"")</f>
        <v/>
      </c>
      <c r="L9" s="80" t="str">
        <f t="array" ref="L9">IFERROR(IF(COUNTIFS(할일표[날짜],J$7,할일표[업무],"&lt;&gt;")&lt;2,"",INDEX(할일표[업무],SMALL(IF((할일표[날짜]=J$7)*(할일표[업무]&lt;&gt;""),ROW(할일표[날짜])-피벗!$T$11),2))),"")</f>
        <v/>
      </c>
      <c r="M9" s="76" t="str">
        <f t="array" ref="M9">IFERROR(IF(COUNTIFS(할일표[날짜],J$7,할일표[업무],"&lt;&gt;")&lt;2,"",INDEX(할일표[진행률],SMALL(IF((할일표[날짜]=J$7)*(할일표[업무]&lt;&gt;""),ROW(할일표[날짜])-피벗!$T$11),2))),"")</f>
        <v/>
      </c>
      <c r="N9" s="74" t="str">
        <f t="array" ref="N9">IFERROR(IF(COUNTIFS(할일표[날짜],N$7,할일표[업무],"&lt;&gt;")&lt;2,"",INDEX(구분표[아이콘],MATCH(INDEX(할일표[구분],SMALL(IF((할일표[날짜]=N$7)*(할일표[업무]&lt;&gt;""),ROW(할일표[구분])-ROW(INDEX(할일표[구분],1))+1),2)),구분표[구분],0))),"")</f>
        <v/>
      </c>
      <c r="O9" s="75" t="str">
        <f t="array" ref="O9">IFERROR(IF(COUNTIFS(할일표[날짜],N$7,할일표[업무],"&lt;&gt;")&lt;2,"",INDEX(할일표[표시],SMALL(IF((할일표[날짜]=N$7)*(할일표[업무]&lt;&gt;""),ROW(할일표[표시])-ROW(INDEX(할일표[표시],1))+1),2))),"")</f>
        <v/>
      </c>
      <c r="P9" s="80" t="str">
        <f t="array" ref="P9">IFERROR(IF(COUNTIFS(할일표[날짜],N$7,할일표[업무],"&lt;&gt;")&lt;2,"",INDEX(할일표[업무],SMALL(IF((할일표[날짜]=N$7)*(할일표[업무]&lt;&gt;""),ROW(할일표[날짜])-피벗!$T$11),2))),"")</f>
        <v/>
      </c>
      <c r="Q9" s="76" t="str">
        <f t="array" ref="Q9">IFERROR(IF(COUNTIFS(할일표[날짜],N$7,할일표[업무],"&lt;&gt;")&lt;2,"",INDEX(할일표[진행률],SMALL(IF((할일표[날짜]=N$7)*(할일표[업무]&lt;&gt;""),ROW(할일표[날짜])-피벗!$T$11),2))),"")</f>
        <v/>
      </c>
      <c r="R9" s="74" t="str">
        <f t="array" ref="R9">IFERROR(IF(COUNTIFS(할일표[날짜],R$7,할일표[업무],"&lt;&gt;")&lt;2,"",INDEX(구분표[아이콘],MATCH(INDEX(할일표[구분],SMALL(IF((할일표[날짜]=R$7)*(할일표[업무]&lt;&gt;""),ROW(할일표[구분])-ROW(INDEX(할일표[구분],1))+1),2)),구분표[구분],0))),"")</f>
        <v/>
      </c>
      <c r="S9" s="75" t="str">
        <f t="array" ref="S9">IFERROR(IF(COUNTIFS(할일표[날짜],R$7,할일표[업무],"&lt;&gt;")&lt;2,"",INDEX(할일표[표시],SMALL(IF((할일표[날짜]=R$7)*(할일표[업무]&lt;&gt;""),ROW(할일표[표시])-ROW(INDEX(할일표[표시],1))+1),2))),"")</f>
        <v/>
      </c>
      <c r="T9" s="80" t="str">
        <f t="array" ref="T9">IFERROR(IF(COUNTIFS(할일표[날짜],R$7,할일표[업무],"&lt;&gt;")&lt;2,"",INDEX(할일표[업무],SMALL(IF((할일표[날짜]=R$7)*(할일표[업무]&lt;&gt;""),ROW(할일표[날짜])-피벗!$T$11),2))),"")</f>
        <v/>
      </c>
      <c r="U9" s="76" t="str">
        <f t="array" ref="U9">IFERROR(IF(COUNTIFS(할일표[날짜],R$7,할일표[업무],"&lt;&gt;")&lt;2,"",INDEX(할일표[진행률],SMALL(IF((할일표[날짜]=R$7)*(할일표[업무]&lt;&gt;""),ROW(할일표[날짜])-피벗!$T$11),2))),"")</f>
        <v/>
      </c>
      <c r="V9" s="74" t="str">
        <f t="array" ref="V9">IFERROR(IF(COUNTIFS(할일표[날짜],V$7,할일표[업무],"&lt;&gt;")&lt;2,"",INDEX(구분표[아이콘],MATCH(INDEX(할일표[구분],SMALL(IF((할일표[날짜]=V$7)*(할일표[업무]&lt;&gt;""),ROW(할일표[구분])-ROW(INDEX(할일표[구분],1))+1),2)),구분표[구분],0))),"")</f>
        <v/>
      </c>
      <c r="W9" s="75" t="str">
        <f t="array" ref="W9">IFERROR(IF(COUNTIFS(할일표[날짜],V$7,할일표[업무],"&lt;&gt;")&lt;2,"",INDEX(할일표[표시],SMALL(IF((할일표[날짜]=V$7)*(할일표[업무]&lt;&gt;""),ROW(할일표[표시])-ROW(INDEX(할일표[표시],1))+1),2))),"")</f>
        <v/>
      </c>
      <c r="X9" s="80" t="str">
        <f t="array" ref="X9">IFERROR(IF(COUNTIFS(할일표[날짜],V$7,할일표[업무],"&lt;&gt;")&lt;2,"",INDEX(할일표[업무],SMALL(IF((할일표[날짜]=V$7)*(할일표[업무]&lt;&gt;""),ROW(할일표[날짜])-피벗!$T$11),2))),"")</f>
        <v/>
      </c>
      <c r="Y9" s="76" t="str">
        <f t="array" ref="Y9">IFERROR(IF(COUNTIFS(할일표[날짜],V$7,할일표[업무],"&lt;&gt;")&lt;2,"",INDEX(할일표[진행률],SMALL(IF((할일표[날짜]=V$7)*(할일표[업무]&lt;&gt;""),ROW(할일표[날짜])-피벗!$T$11),2))),"")</f>
        <v/>
      </c>
      <c r="Z9" s="74" t="str">
        <f t="array" ref="Z9">IFERROR(IF(COUNTIFS(할일표[날짜],Z$7,할일표[업무],"&lt;&gt;")&lt;2,"",INDEX(구분표[아이콘],MATCH(INDEX(할일표[구분],SMALL(IF((할일표[날짜]=Z$7)*(할일표[업무]&lt;&gt;""),ROW(할일표[구분])-ROW(INDEX(할일표[구분],1))+1),2)),구분표[구분],0))),"")</f>
        <v/>
      </c>
      <c r="AA9" s="75" t="str">
        <f t="array" ref="AA9">IFERROR(IF(COUNTIFS(할일표[날짜],Z$7,할일표[업무],"&lt;&gt;")&lt;2,"",INDEX(할일표[표시],SMALL(IF((할일표[날짜]=Z$7)*(할일표[업무]&lt;&gt;""),ROW(할일표[표시])-ROW(INDEX(할일표[표시],1))+1),2))),"")</f>
        <v/>
      </c>
      <c r="AB9" s="80" t="str">
        <f t="array" ref="AB9">IFERROR(IF(COUNTIFS(할일표[날짜],Z$7,할일표[업무],"&lt;&gt;")&lt;2,"",INDEX(할일표[업무],SMALL(IF((할일표[날짜]=Z$7)*(할일표[업무]&lt;&gt;""),ROW(할일표[날짜])-피벗!$T$11),2))),"")</f>
        <v/>
      </c>
      <c r="AC9" s="76" t="str">
        <f t="array" ref="AC9">IFERROR(IF(COUNTIFS(할일표[날짜],Z$7,할일표[업무],"&lt;&gt;")&lt;2,"",INDEX(할일표[진행률],SMALL(IF((할일표[날짜]=Z$7)*(할일표[업무]&lt;&gt;""),ROW(할일표[날짜])-피벗!$T$11),2))),"")</f>
        <v/>
      </c>
      <c r="AI9" s="81"/>
      <c r="AJ9" s="81"/>
      <c r="AK9" s="81"/>
      <c r="AL9" s="47">
        <f t="shared" ca="1" si="1"/>
        <v>0.68862110748002148</v>
      </c>
      <c r="AM9" s="47">
        <f t="shared" ca="1" si="0"/>
        <v>8.1890282189334918E-2</v>
      </c>
      <c r="AN9" s="47">
        <f t="shared" ca="1" si="2"/>
        <v>0.58658144382016375</v>
      </c>
      <c r="AO9" s="81"/>
      <c r="AP9" s="81"/>
      <c r="AQ9" s="81"/>
    </row>
    <row r="10" spans="2:43" s="48" customFormat="1" ht="21" customHeight="1" x14ac:dyDescent="0.45">
      <c r="B10" s="74" t="str">
        <f t="array" ref="B10">IFERROR(IF(COUNTIFS(할일표[날짜],B$7,할일표[업무],"&lt;&gt;")&lt;3,"",INDEX(구분표[아이콘],MATCH(INDEX(할일표[구분],SMALL(IF((할일표[날짜]=B$7)*(할일표[업무]&lt;&gt;""),ROW(할일표[구분])-ROW(INDEX(할일표[구분],1))+1),3)),구분표[구분],0))),"")</f>
        <v/>
      </c>
      <c r="C10" s="75" t="str">
        <f t="array" ref="C10">IFERROR(IF(COUNTIFS(할일표[날짜],B$7,할일표[업무],"&lt;&gt;")&lt;3,"",INDEX(할일표[표시],SMALL(IF((할일표[날짜]=B$7)*(할일표[업무]&lt;&gt;""),ROW(할일표[표시])-ROW(INDEX(할일표[표시],1))+1),3))),"")</f>
        <v/>
      </c>
      <c r="D10" s="80" t="str">
        <f t="array" ref="D10">IFERROR(IF(COUNTIFS(할일표[날짜],B$7,할일표[업무],"&lt;&gt;")&lt;3,"",INDEX(할일표[업무],SMALL(IF((할일표[날짜]=B$7)*(할일표[업무]&lt;&gt;""),ROW(할일표[날짜])-피벗!$T$11),3))),"")</f>
        <v/>
      </c>
      <c r="E10" s="76" t="str">
        <f t="array" ref="E10">IFERROR(IF(COUNTIFS(할일표[날짜],B$7,할일표[업무],"&lt;&gt;")&lt;3,"",INDEX(할일표[진행률],SMALL(IF((할일표[날짜]=B$7)*(할일표[업무]&lt;&gt;""),ROW(할일표[날짜])-피벗!$T$11),3))),"")</f>
        <v/>
      </c>
      <c r="F10" s="74" t="str">
        <f t="array" ref="F10">IFERROR(IF(COUNTIFS(할일표[날짜],F$7,할일표[업무],"&lt;&gt;")&lt;3,"",INDEX(구분표[아이콘],MATCH(INDEX(할일표[구분],SMALL(IF((할일표[날짜]=F$7)*(할일표[업무]&lt;&gt;""),ROW(할일표[구분])-ROW(INDEX(할일표[구분],1))+1),3)),구분표[구분],0))),"")</f>
        <v/>
      </c>
      <c r="G10" s="75" t="str">
        <f t="array" ref="G10">IFERROR(IF(COUNTIFS(할일표[날짜],F$7,할일표[업무],"&lt;&gt;")&lt;3,"",INDEX(할일표[표시],SMALL(IF((할일표[날짜]=F$7)*(할일표[업무]&lt;&gt;""),ROW(할일표[표시])-ROW(INDEX(할일표[표시],1))+1),3))),"")</f>
        <v/>
      </c>
      <c r="H10" s="80" t="str">
        <f t="array" ref="H10">IFERROR(IF(COUNTIFS(할일표[날짜],F$7,할일표[업무],"&lt;&gt;")&lt;3,"",INDEX(할일표[업무],SMALL(IF((할일표[날짜]=F$7)*(할일표[업무]&lt;&gt;""),ROW(할일표[날짜])-피벗!$T$11),3))),"")</f>
        <v/>
      </c>
      <c r="I10" s="76" t="str">
        <f t="array" ref="I10">IFERROR(IF(COUNTIFS(할일표[날짜],F$7,할일표[업무],"&lt;&gt;")&lt;3,"",INDEX(할일표[진행률],SMALL(IF((할일표[날짜]=F$7)*(할일표[업무]&lt;&gt;""),ROW(할일표[날짜])-피벗!$T$11),3))),"")</f>
        <v/>
      </c>
      <c r="J10" s="74" t="str">
        <f t="array" ref="J10">IFERROR(IF(COUNTIFS(할일표[날짜],J$7,할일표[업무],"&lt;&gt;")&lt;3,"",INDEX(구분표[아이콘],MATCH(INDEX(할일표[구분],SMALL(IF((할일표[날짜]=J$7)*(할일표[업무]&lt;&gt;""),ROW(할일표[구분])-ROW(INDEX(할일표[구분],1))+1),3)),구분표[구분],0))),"")</f>
        <v/>
      </c>
      <c r="K10" s="75" t="str">
        <f t="array" ref="K10">IFERROR(IF(COUNTIFS(할일표[날짜],J$7,할일표[업무],"&lt;&gt;")&lt;3,"",INDEX(할일표[표시],SMALL(IF((할일표[날짜]=J$7)*(할일표[업무]&lt;&gt;""),ROW(할일표[표시])-ROW(INDEX(할일표[표시],1))+1),3))),"")</f>
        <v/>
      </c>
      <c r="L10" s="80" t="str">
        <f t="array" ref="L10">IFERROR(IF(COUNTIFS(할일표[날짜],J$7,할일표[업무],"&lt;&gt;")&lt;3,"",INDEX(할일표[업무],SMALL(IF((할일표[날짜]=J$7)*(할일표[업무]&lt;&gt;""),ROW(할일표[날짜])-피벗!$T$11),3))),"")</f>
        <v/>
      </c>
      <c r="M10" s="76" t="str">
        <f t="array" ref="M10">IFERROR(IF(COUNTIFS(할일표[날짜],J$7,할일표[업무],"&lt;&gt;")&lt;3,"",INDEX(할일표[진행률],SMALL(IF((할일표[날짜]=J$7)*(할일표[업무]&lt;&gt;""),ROW(할일표[날짜])-피벗!$T$11),3))),"")</f>
        <v/>
      </c>
      <c r="N10" s="74" t="str">
        <f t="array" ref="N10">IFERROR(IF(COUNTIFS(할일표[날짜],N$7,할일표[업무],"&lt;&gt;")&lt;3,"",INDEX(구분표[아이콘],MATCH(INDEX(할일표[구분],SMALL(IF((할일표[날짜]=N$7)*(할일표[업무]&lt;&gt;""),ROW(할일표[구분])-ROW(INDEX(할일표[구분],1))+1),3)),구분표[구분],0))),"")</f>
        <v/>
      </c>
      <c r="O10" s="75" t="str">
        <f t="array" ref="O10">IFERROR(IF(COUNTIFS(할일표[날짜],N$7,할일표[업무],"&lt;&gt;")&lt;3,"",INDEX(할일표[표시],SMALL(IF((할일표[날짜]=N$7)*(할일표[업무]&lt;&gt;""),ROW(할일표[표시])-ROW(INDEX(할일표[표시],1))+1),3))),"")</f>
        <v/>
      </c>
      <c r="P10" s="80" t="str">
        <f t="array" ref="P10">IFERROR(IF(COUNTIFS(할일표[날짜],N$7,할일표[업무],"&lt;&gt;")&lt;3,"",INDEX(할일표[업무],SMALL(IF((할일표[날짜]=N$7)*(할일표[업무]&lt;&gt;""),ROW(할일표[날짜])-피벗!$T$11),3))),"")</f>
        <v/>
      </c>
      <c r="Q10" s="76" t="str">
        <f t="array" ref="Q10">IFERROR(IF(COUNTIFS(할일표[날짜],N$7,할일표[업무],"&lt;&gt;")&lt;3,"",INDEX(할일표[진행률],SMALL(IF((할일표[날짜]=N$7)*(할일표[업무]&lt;&gt;""),ROW(할일표[날짜])-피벗!$T$11),3))),"")</f>
        <v/>
      </c>
      <c r="R10" s="74" t="str">
        <f t="array" ref="R10">IFERROR(IF(COUNTIFS(할일표[날짜],R$7,할일표[업무],"&lt;&gt;")&lt;3,"",INDEX(구분표[아이콘],MATCH(INDEX(할일표[구분],SMALL(IF((할일표[날짜]=R$7)*(할일표[업무]&lt;&gt;""),ROW(할일표[구분])-ROW(INDEX(할일표[구분],1))+1),3)),구분표[구분],0))),"")</f>
        <v/>
      </c>
      <c r="S10" s="75" t="str">
        <f t="array" ref="S10">IFERROR(IF(COUNTIFS(할일표[날짜],R$7,할일표[업무],"&lt;&gt;")&lt;3,"",INDEX(할일표[표시],SMALL(IF((할일표[날짜]=R$7)*(할일표[업무]&lt;&gt;""),ROW(할일표[표시])-ROW(INDEX(할일표[표시],1))+1),3))),"")</f>
        <v/>
      </c>
      <c r="T10" s="80" t="str">
        <f t="array" ref="T10">IFERROR(IF(COUNTIFS(할일표[날짜],R$7,할일표[업무],"&lt;&gt;")&lt;3,"",INDEX(할일표[업무],SMALL(IF((할일표[날짜]=R$7)*(할일표[업무]&lt;&gt;""),ROW(할일표[날짜])-피벗!$T$11),3))),"")</f>
        <v/>
      </c>
      <c r="U10" s="76" t="str">
        <f t="array" ref="U10">IFERROR(IF(COUNTIFS(할일표[날짜],R$7,할일표[업무],"&lt;&gt;")&lt;3,"",INDEX(할일표[진행률],SMALL(IF((할일표[날짜]=R$7)*(할일표[업무]&lt;&gt;""),ROW(할일표[날짜])-피벗!$T$11),3))),"")</f>
        <v/>
      </c>
      <c r="V10" s="74" t="str">
        <f t="array" ref="V10">IFERROR(IF(COUNTIFS(할일표[날짜],V$7,할일표[업무],"&lt;&gt;")&lt;3,"",INDEX(구분표[아이콘],MATCH(INDEX(할일표[구분],SMALL(IF((할일표[날짜]=V$7)*(할일표[업무]&lt;&gt;""),ROW(할일표[구분])-ROW(INDEX(할일표[구분],1))+1),3)),구분표[구분],0))),"")</f>
        <v/>
      </c>
      <c r="W10" s="75" t="str">
        <f t="array" ref="W10">IFERROR(IF(COUNTIFS(할일표[날짜],V$7,할일표[업무],"&lt;&gt;")&lt;3,"",INDEX(할일표[표시],SMALL(IF((할일표[날짜]=V$7)*(할일표[업무]&lt;&gt;""),ROW(할일표[표시])-ROW(INDEX(할일표[표시],1))+1),3))),"")</f>
        <v/>
      </c>
      <c r="X10" s="80" t="str">
        <f t="array" ref="X10">IFERROR(IF(COUNTIFS(할일표[날짜],V$7,할일표[업무],"&lt;&gt;")&lt;3,"",INDEX(할일표[업무],SMALL(IF((할일표[날짜]=V$7)*(할일표[업무]&lt;&gt;""),ROW(할일표[날짜])-피벗!$T$11),3))),"")</f>
        <v/>
      </c>
      <c r="Y10" s="76" t="str">
        <f t="array" ref="Y10">IFERROR(IF(COUNTIFS(할일표[날짜],V$7,할일표[업무],"&lt;&gt;")&lt;3,"",INDEX(할일표[진행률],SMALL(IF((할일표[날짜]=V$7)*(할일표[업무]&lt;&gt;""),ROW(할일표[날짜])-피벗!$T$11),3))),"")</f>
        <v/>
      </c>
      <c r="Z10" s="74" t="str">
        <f t="array" ref="Z10">IFERROR(IF(COUNTIFS(할일표[날짜],Z$7,할일표[업무],"&lt;&gt;")&lt;3,"",INDEX(구분표[아이콘],MATCH(INDEX(할일표[구분],SMALL(IF((할일표[날짜]=Z$7)*(할일표[업무]&lt;&gt;""),ROW(할일표[구분])-ROW(INDEX(할일표[구분],1))+1),3)),구분표[구분],0))),"")</f>
        <v/>
      </c>
      <c r="AA10" s="75" t="str">
        <f t="array" ref="AA10">IFERROR(IF(COUNTIFS(할일표[날짜],Z$7,할일표[업무],"&lt;&gt;")&lt;3,"",INDEX(할일표[표시],SMALL(IF((할일표[날짜]=Z$7)*(할일표[업무]&lt;&gt;""),ROW(할일표[표시])-ROW(INDEX(할일표[표시],1))+1),3))),"")</f>
        <v/>
      </c>
      <c r="AB10" s="80" t="str">
        <f t="array" ref="AB10">IFERROR(IF(COUNTIFS(할일표[날짜],Z$7,할일표[업무],"&lt;&gt;")&lt;3,"",INDEX(할일표[업무],SMALL(IF((할일표[날짜]=Z$7)*(할일표[업무]&lt;&gt;""),ROW(할일표[날짜])-피벗!$T$11),3))),"")</f>
        <v/>
      </c>
      <c r="AC10" s="76" t="str">
        <f t="array" ref="AC10">IFERROR(IF(COUNTIFS(할일표[날짜],Z$7,할일표[업무],"&lt;&gt;")&lt;3,"",INDEX(할일표[진행률],SMALL(IF((할일표[날짜]=Z$7)*(할일표[업무]&lt;&gt;""),ROW(할일표[날짜])-피벗!$T$11),3))),"")</f>
        <v/>
      </c>
      <c r="AI10" s="81"/>
      <c r="AJ10" s="81"/>
      <c r="AK10" s="50">
        <f ca="1">RAND()</f>
        <v>0.83110692476310011</v>
      </c>
      <c r="AL10" s="50">
        <f t="shared" ca="1" si="1"/>
        <v>9.1095997415938101E-2</v>
      </c>
      <c r="AM10" s="50">
        <f t="shared" ca="1" si="0"/>
        <v>0.63991661733435634</v>
      </c>
      <c r="AN10" s="50">
        <f t="shared" ca="1" si="2"/>
        <v>0.8820359157071338</v>
      </c>
      <c r="AO10" s="50">
        <f ca="1">RAND()</f>
        <v>0.58838301349014244</v>
      </c>
      <c r="AP10" s="81"/>
      <c r="AQ10" s="81"/>
    </row>
    <row r="11" spans="2:43" s="48" customFormat="1" ht="21" customHeight="1" x14ac:dyDescent="0.45">
      <c r="B11" s="74" t="str">
        <f t="array" ref="B11">IFERROR(IF(COUNTIFS(할일표[날짜],B$7,할일표[업무],"&lt;&gt;")&lt;4,"",INDEX(구분표[아이콘],MATCH(INDEX(할일표[구분],SMALL(IF((할일표[날짜]=B$7)*(할일표[업무]&lt;&gt;""),ROW(할일표[구분])-ROW(INDEX(할일표[구분],1))+1),4)),구분표[구분],0))),"")</f>
        <v/>
      </c>
      <c r="C11" s="75" t="str">
        <f t="array" ref="C11">IFERROR(IF(COUNTIFS(할일표[날짜],B$7,할일표[업무],"&lt;&gt;")&lt;4,"",INDEX(할일표[표시],SMALL(IF((할일표[날짜]=B$7)*(할일표[업무]&lt;&gt;""),ROW(할일표[표시])-ROW(INDEX(할일표[표시],1))+1),4))),"")</f>
        <v/>
      </c>
      <c r="D11" s="80" t="str">
        <f t="array" ref="D11">IFERROR(IF(COUNTIFS(할일표[날짜],B$7,할일표[업무],"&lt;&gt;")&lt;4,"",INDEX(할일표[업무],SMALL(IF((할일표[날짜]=B$7)*(할일표[업무]&lt;&gt;""),ROW(할일표[날짜])-피벗!$T$11),4))),"")</f>
        <v/>
      </c>
      <c r="E11" s="76" t="str">
        <f t="array" ref="E11">IFERROR(IF(COUNTIFS(할일표[날짜],B$7,할일표[업무],"&lt;&gt;")&lt;4,"",INDEX(할일표[진행률],SMALL(IF((할일표[날짜]=B$7)*(할일표[업무]&lt;&gt;""),ROW(할일표[날짜])-피벗!$T$11),4))),"")</f>
        <v/>
      </c>
      <c r="F11" s="74" t="str">
        <f t="array" ref="F11">IFERROR(IF(COUNTIFS(할일표[날짜],F$7,할일표[업무],"&lt;&gt;")&lt;4,"",INDEX(구분표[아이콘],MATCH(INDEX(할일표[구분],SMALL(IF((할일표[날짜]=F$7)*(할일표[업무]&lt;&gt;""),ROW(할일표[구분])-ROW(INDEX(할일표[구분],1))+1),4)),구분표[구분],0))),"")</f>
        <v/>
      </c>
      <c r="G11" s="75" t="str">
        <f t="array" ref="G11">IFERROR(IF(COUNTIFS(할일표[날짜],F$7,할일표[업무],"&lt;&gt;")&lt;4,"",INDEX(할일표[표시],SMALL(IF((할일표[날짜]=F$7)*(할일표[업무]&lt;&gt;""),ROW(할일표[표시])-ROW(INDEX(할일표[표시],1))+1),4))),"")</f>
        <v/>
      </c>
      <c r="H11" s="80" t="str">
        <f t="array" ref="H11">IFERROR(IF(COUNTIFS(할일표[날짜],F$7,할일표[업무],"&lt;&gt;")&lt;4,"",INDEX(할일표[업무],SMALL(IF((할일표[날짜]=F$7)*(할일표[업무]&lt;&gt;""),ROW(할일표[날짜])-피벗!$T$11),4))),"")</f>
        <v/>
      </c>
      <c r="I11" s="76" t="str">
        <f t="array" ref="I11">IFERROR(IF(COUNTIFS(할일표[날짜],F$7,할일표[업무],"&lt;&gt;")&lt;4,"",INDEX(할일표[진행률],SMALL(IF((할일표[날짜]=F$7)*(할일표[업무]&lt;&gt;""),ROW(할일표[날짜])-피벗!$T$11),4))),"")</f>
        <v/>
      </c>
      <c r="J11" s="74" t="str">
        <f t="array" ref="J11">IFERROR(IF(COUNTIFS(할일표[날짜],J$7,할일표[업무],"&lt;&gt;")&lt;4,"",INDEX(구분표[아이콘],MATCH(INDEX(할일표[구분],SMALL(IF((할일표[날짜]=J$7)*(할일표[업무]&lt;&gt;""),ROW(할일표[구분])-ROW(INDEX(할일표[구분],1))+1),4)),구분표[구분],0))),"")</f>
        <v/>
      </c>
      <c r="K11" s="75" t="str">
        <f t="array" ref="K11">IFERROR(IF(COUNTIFS(할일표[날짜],J$7,할일표[업무],"&lt;&gt;")&lt;4,"",INDEX(할일표[표시],SMALL(IF((할일표[날짜]=J$7)*(할일표[업무]&lt;&gt;""),ROW(할일표[표시])-ROW(INDEX(할일표[표시],1))+1),4))),"")</f>
        <v/>
      </c>
      <c r="L11" s="80" t="str">
        <f t="array" ref="L11">IFERROR(IF(COUNTIFS(할일표[날짜],J$7,할일표[업무],"&lt;&gt;")&lt;4,"",INDEX(할일표[업무],SMALL(IF((할일표[날짜]=J$7)*(할일표[업무]&lt;&gt;""),ROW(할일표[날짜])-피벗!$T$11),4))),"")</f>
        <v/>
      </c>
      <c r="M11" s="76" t="str">
        <f t="array" ref="M11">IFERROR(IF(COUNTIFS(할일표[날짜],J$7,할일표[업무],"&lt;&gt;")&lt;4,"",INDEX(할일표[진행률],SMALL(IF((할일표[날짜]=J$7)*(할일표[업무]&lt;&gt;""),ROW(할일표[날짜])-피벗!$T$11),4))),"")</f>
        <v/>
      </c>
      <c r="N11" s="74" t="str">
        <f t="array" ref="N11">IFERROR(IF(COUNTIFS(할일표[날짜],N$7,할일표[업무],"&lt;&gt;")&lt;4,"",INDEX(구분표[아이콘],MATCH(INDEX(할일표[구분],SMALL(IF((할일표[날짜]=N$7)*(할일표[업무]&lt;&gt;""),ROW(할일표[구분])-ROW(INDEX(할일표[구분],1))+1),4)),구분표[구분],0))),"")</f>
        <v/>
      </c>
      <c r="O11" s="75" t="str">
        <f t="array" ref="O11">IFERROR(IF(COUNTIFS(할일표[날짜],N$7,할일표[업무],"&lt;&gt;")&lt;4,"",INDEX(할일표[표시],SMALL(IF((할일표[날짜]=N$7)*(할일표[업무]&lt;&gt;""),ROW(할일표[표시])-ROW(INDEX(할일표[표시],1))+1),4))),"")</f>
        <v/>
      </c>
      <c r="P11" s="80" t="str">
        <f t="array" ref="P11">IFERROR(IF(COUNTIFS(할일표[날짜],N$7,할일표[업무],"&lt;&gt;")&lt;4,"",INDEX(할일표[업무],SMALL(IF((할일표[날짜]=N$7)*(할일표[업무]&lt;&gt;""),ROW(할일표[날짜])-피벗!$T$11),4))),"")</f>
        <v/>
      </c>
      <c r="Q11" s="76" t="str">
        <f t="array" ref="Q11">IFERROR(IF(COUNTIFS(할일표[날짜],N$7,할일표[업무],"&lt;&gt;")&lt;4,"",INDEX(할일표[진행률],SMALL(IF((할일표[날짜]=N$7)*(할일표[업무]&lt;&gt;""),ROW(할일표[날짜])-피벗!$T$11),4))),"")</f>
        <v/>
      </c>
      <c r="R11" s="74" t="str">
        <f t="array" ref="R11">IFERROR(IF(COUNTIFS(할일표[날짜],R$7,할일표[업무],"&lt;&gt;")&lt;4,"",INDEX(구분표[아이콘],MATCH(INDEX(할일표[구분],SMALL(IF((할일표[날짜]=R$7)*(할일표[업무]&lt;&gt;""),ROW(할일표[구분])-ROW(INDEX(할일표[구분],1))+1),4)),구분표[구분],0))),"")</f>
        <v/>
      </c>
      <c r="S11" s="75" t="str">
        <f t="array" ref="S11">IFERROR(IF(COUNTIFS(할일표[날짜],R$7,할일표[업무],"&lt;&gt;")&lt;4,"",INDEX(할일표[표시],SMALL(IF((할일표[날짜]=R$7)*(할일표[업무]&lt;&gt;""),ROW(할일표[표시])-ROW(INDEX(할일표[표시],1))+1),4))),"")</f>
        <v/>
      </c>
      <c r="T11" s="80" t="str">
        <f t="array" ref="T11">IFERROR(IF(COUNTIFS(할일표[날짜],R$7,할일표[업무],"&lt;&gt;")&lt;4,"",INDEX(할일표[업무],SMALL(IF((할일표[날짜]=R$7)*(할일표[업무]&lt;&gt;""),ROW(할일표[날짜])-피벗!$T$11),4))),"")</f>
        <v/>
      </c>
      <c r="U11" s="76" t="str">
        <f t="array" ref="U11">IFERROR(IF(COUNTIFS(할일표[날짜],R$7,할일표[업무],"&lt;&gt;")&lt;4,"",INDEX(할일표[진행률],SMALL(IF((할일표[날짜]=R$7)*(할일표[업무]&lt;&gt;""),ROW(할일표[날짜])-피벗!$T$11),4))),"")</f>
        <v/>
      </c>
      <c r="V11" s="74" t="str">
        <f t="array" ref="V11">IFERROR(IF(COUNTIFS(할일표[날짜],V$7,할일표[업무],"&lt;&gt;")&lt;4,"",INDEX(구분표[아이콘],MATCH(INDEX(할일표[구분],SMALL(IF((할일표[날짜]=V$7)*(할일표[업무]&lt;&gt;""),ROW(할일표[구분])-ROW(INDEX(할일표[구분],1))+1),4)),구분표[구분],0))),"")</f>
        <v/>
      </c>
      <c r="W11" s="75" t="str">
        <f t="array" ref="W11">IFERROR(IF(COUNTIFS(할일표[날짜],V$7,할일표[업무],"&lt;&gt;")&lt;4,"",INDEX(할일표[표시],SMALL(IF((할일표[날짜]=V$7)*(할일표[업무]&lt;&gt;""),ROW(할일표[표시])-ROW(INDEX(할일표[표시],1))+1),4))),"")</f>
        <v/>
      </c>
      <c r="X11" s="80" t="str">
        <f t="array" ref="X11">IFERROR(IF(COUNTIFS(할일표[날짜],V$7,할일표[업무],"&lt;&gt;")&lt;4,"",INDEX(할일표[업무],SMALL(IF((할일표[날짜]=V$7)*(할일표[업무]&lt;&gt;""),ROW(할일표[날짜])-피벗!$T$11),4))),"")</f>
        <v/>
      </c>
      <c r="Y11" s="76" t="str">
        <f t="array" ref="Y11">IFERROR(IF(COUNTIFS(할일표[날짜],V$7,할일표[업무],"&lt;&gt;")&lt;4,"",INDEX(할일표[진행률],SMALL(IF((할일표[날짜]=V$7)*(할일표[업무]&lt;&gt;""),ROW(할일표[날짜])-피벗!$T$11),4))),"")</f>
        <v/>
      </c>
      <c r="Z11" s="74" t="str">
        <f t="array" ref="Z11">IFERROR(IF(COUNTIFS(할일표[날짜],Z$7,할일표[업무],"&lt;&gt;")&lt;4,"",INDEX(구분표[아이콘],MATCH(INDEX(할일표[구분],SMALL(IF((할일표[날짜]=Z$7)*(할일표[업무]&lt;&gt;""),ROW(할일표[구분])-ROW(INDEX(할일표[구분],1))+1),4)),구분표[구분],0))),"")</f>
        <v/>
      </c>
      <c r="AA11" s="75" t="str">
        <f t="array" ref="AA11">IFERROR(IF(COUNTIFS(할일표[날짜],Z$7,할일표[업무],"&lt;&gt;")&lt;4,"",INDEX(할일표[표시],SMALL(IF((할일표[날짜]=Z$7)*(할일표[업무]&lt;&gt;""),ROW(할일표[표시])-ROW(INDEX(할일표[표시],1))+1),4))),"")</f>
        <v/>
      </c>
      <c r="AB11" s="80" t="str">
        <f t="array" ref="AB11">IFERROR(IF(COUNTIFS(할일표[날짜],Z$7,할일표[업무],"&lt;&gt;")&lt;4,"",INDEX(할일표[업무],SMALL(IF((할일표[날짜]=Z$7)*(할일표[업무]&lt;&gt;""),ROW(할일표[날짜])-피벗!$T$11),4))),"")</f>
        <v/>
      </c>
      <c r="AC11" s="76" t="str">
        <f t="array" ref="AC11">IFERROR(IF(COUNTIFS(할일표[날짜],Z$7,할일표[업무],"&lt;&gt;")&lt;4,"",INDEX(할일표[진행률],SMALL(IF((할일표[날짜]=Z$7)*(할일표[업무]&lt;&gt;""),ROW(할일표[날짜])-피벗!$T$11),4))),"")</f>
        <v/>
      </c>
      <c r="AI11" s="81"/>
      <c r="AJ11" s="47">
        <f ca="1">RAND()</f>
        <v>0.77701427243356069</v>
      </c>
      <c r="AK11" s="47">
        <f ca="1">RAND()</f>
        <v>0.97856309981806522</v>
      </c>
      <c r="AL11" s="47">
        <f t="shared" ca="1" si="1"/>
        <v>0.5551545453227491</v>
      </c>
      <c r="AM11" s="47">
        <f t="shared" ca="1" si="0"/>
        <v>0.52518971692079974</v>
      </c>
      <c r="AN11" s="47">
        <f t="shared" ca="1" si="2"/>
        <v>0.5895397204494881</v>
      </c>
      <c r="AO11" s="47">
        <f ca="1">RAND()</f>
        <v>7.6561397375013662E-2</v>
      </c>
      <c r="AP11" s="47">
        <f ca="1">RAND()</f>
        <v>0.36195433473219318</v>
      </c>
      <c r="AQ11" s="81"/>
    </row>
    <row r="12" spans="2:43" s="48" customFormat="1" ht="21" customHeight="1" x14ac:dyDescent="0.45">
      <c r="B12" s="74" t="str">
        <f t="array" ref="B12">IFERROR(IF(COUNTIFS(할일표[날짜],B$7,할일표[업무],"&lt;&gt;")&lt;5,"",INDEX(구분표[아이콘],MATCH(INDEX(할일표[구분],SMALL(IF((할일표[날짜]=B$7)*(할일표[업무]&lt;&gt;""),ROW(할일표[구분])-ROW(INDEX(할일표[구분],1))+1),5)),구분표[구분],0))),"")</f>
        <v/>
      </c>
      <c r="C12" s="75" t="str">
        <f t="array" ref="C12">IFERROR(IF(COUNTIFS(할일표[날짜],B$7,할일표[업무],"&lt;&gt;")&lt;5,"",INDEX(할일표[표시],SMALL(IF((할일표[날짜]=B$7)*(할일표[업무]&lt;&gt;""),ROW(할일표[표시])-ROW(INDEX(할일표[표시],1))+1),5))),"")</f>
        <v/>
      </c>
      <c r="D12" s="80" t="str">
        <f t="array" ref="D12">IFERROR(IF(COUNTIFS(할일표[날짜],B$7,할일표[업무],"&lt;&gt;")&lt;5,"",INDEX(할일표[업무],SMALL(IF((할일표[날짜]=B$7)*(할일표[업무]&lt;&gt;""),ROW(할일표[날짜])-피벗!$T$11),5))),"")</f>
        <v/>
      </c>
      <c r="E12" s="76" t="str">
        <f t="array" ref="E12">IFERROR(IF(COUNTIFS(할일표[날짜],B$7,할일표[업무],"&lt;&gt;")&lt;5,"",INDEX(할일표[진행률],SMALL(IF((할일표[날짜]=B$7)*(할일표[업무]&lt;&gt;""),ROW(할일표[날짜])-피벗!$T$11),5))),"")</f>
        <v/>
      </c>
      <c r="F12" s="74" t="str">
        <f t="array" ref="F12">IFERROR(IF(COUNTIFS(할일표[날짜],F$7,할일표[업무],"&lt;&gt;")&lt;5,"",INDEX(구분표[아이콘],MATCH(INDEX(할일표[구분],SMALL(IF((할일표[날짜]=F$7)*(할일표[업무]&lt;&gt;""),ROW(할일표[구분])-ROW(INDEX(할일표[구분],1))+1),5)),구분표[구분],0))),"")</f>
        <v/>
      </c>
      <c r="G12" s="75" t="str">
        <f t="array" ref="G12">IFERROR(IF(COUNTIFS(할일표[날짜],F$7,할일표[업무],"&lt;&gt;")&lt;5,"",INDEX(할일표[표시],SMALL(IF((할일표[날짜]=F$7)*(할일표[업무]&lt;&gt;""),ROW(할일표[표시])-ROW(INDEX(할일표[표시],1))+1),5))),"")</f>
        <v/>
      </c>
      <c r="H12" s="80" t="str">
        <f t="array" ref="H12">IFERROR(IF(COUNTIFS(할일표[날짜],F$7,할일표[업무],"&lt;&gt;")&lt;5,"",INDEX(할일표[업무],SMALL(IF((할일표[날짜]=F$7)*(할일표[업무]&lt;&gt;""),ROW(할일표[날짜])-피벗!$T$11),5))),"")</f>
        <v/>
      </c>
      <c r="I12" s="76" t="str">
        <f t="array" ref="I12">IFERROR(IF(COUNTIFS(할일표[날짜],F$7,할일표[업무],"&lt;&gt;")&lt;5,"",INDEX(할일표[진행률],SMALL(IF((할일표[날짜]=F$7)*(할일표[업무]&lt;&gt;""),ROW(할일표[날짜])-피벗!$T$11),5))),"")</f>
        <v/>
      </c>
      <c r="J12" s="74" t="str">
        <f t="array" ref="J12">IFERROR(IF(COUNTIFS(할일표[날짜],J$7,할일표[업무],"&lt;&gt;")&lt;5,"",INDEX(구분표[아이콘],MATCH(INDEX(할일표[구분],SMALL(IF((할일표[날짜]=J$7)*(할일표[업무]&lt;&gt;""),ROW(할일표[구분])-ROW(INDEX(할일표[구분],1))+1),5)),구분표[구분],0))),"")</f>
        <v/>
      </c>
      <c r="K12" s="75" t="str">
        <f t="array" ref="K12">IFERROR(IF(COUNTIFS(할일표[날짜],J$7,할일표[업무],"&lt;&gt;")&lt;5,"",INDEX(할일표[표시],SMALL(IF((할일표[날짜]=J$7)*(할일표[업무]&lt;&gt;""),ROW(할일표[표시])-ROW(INDEX(할일표[표시],1))+1),5))),"")</f>
        <v/>
      </c>
      <c r="L12" s="80" t="str">
        <f t="array" ref="L12">IFERROR(IF(COUNTIFS(할일표[날짜],J$7,할일표[업무],"&lt;&gt;")&lt;5,"",INDEX(할일표[업무],SMALL(IF((할일표[날짜]=J$7)*(할일표[업무]&lt;&gt;""),ROW(할일표[날짜])-피벗!$T$11),5))),"")</f>
        <v/>
      </c>
      <c r="M12" s="76" t="str">
        <f t="array" ref="M12">IFERROR(IF(COUNTIFS(할일표[날짜],J$7,할일표[업무],"&lt;&gt;")&lt;5,"",INDEX(할일표[진행률],SMALL(IF((할일표[날짜]=J$7)*(할일표[업무]&lt;&gt;""),ROW(할일표[날짜])-피벗!$T$11),5))),"")</f>
        <v/>
      </c>
      <c r="N12" s="74" t="str">
        <f t="array" ref="N12">IFERROR(IF(COUNTIFS(할일표[날짜],N$7,할일표[업무],"&lt;&gt;")&lt;5,"",INDEX(구분표[아이콘],MATCH(INDEX(할일표[구분],SMALL(IF((할일표[날짜]=N$7)*(할일표[업무]&lt;&gt;""),ROW(할일표[구분])-ROW(INDEX(할일표[구분],1))+1),5)),구분표[구분],0))),"")</f>
        <v/>
      </c>
      <c r="O12" s="75" t="str">
        <f t="array" ref="O12">IFERROR(IF(COUNTIFS(할일표[날짜],N$7,할일표[업무],"&lt;&gt;")&lt;5,"",INDEX(할일표[표시],SMALL(IF((할일표[날짜]=N$7)*(할일표[업무]&lt;&gt;""),ROW(할일표[표시])-ROW(INDEX(할일표[표시],1))+1),5))),"")</f>
        <v/>
      </c>
      <c r="P12" s="80" t="str">
        <f t="array" ref="P12">IFERROR(IF(COUNTIFS(할일표[날짜],N$7,할일표[업무],"&lt;&gt;")&lt;5,"",INDEX(할일표[업무],SMALL(IF((할일표[날짜]=N$7)*(할일표[업무]&lt;&gt;""),ROW(할일표[날짜])-피벗!$T$11),5))),"")</f>
        <v/>
      </c>
      <c r="Q12" s="76" t="str">
        <f t="array" ref="Q12">IFERROR(IF(COUNTIFS(할일표[날짜],N$7,할일표[업무],"&lt;&gt;")&lt;5,"",INDEX(할일표[진행률],SMALL(IF((할일표[날짜]=N$7)*(할일표[업무]&lt;&gt;""),ROW(할일표[날짜])-피벗!$T$11),5))),"")</f>
        <v/>
      </c>
      <c r="R12" s="74" t="str">
        <f t="array" ref="R12">IFERROR(IF(COUNTIFS(할일표[날짜],R$7,할일표[업무],"&lt;&gt;")&lt;5,"",INDEX(구분표[아이콘],MATCH(INDEX(할일표[구분],SMALL(IF((할일표[날짜]=R$7)*(할일표[업무]&lt;&gt;""),ROW(할일표[구분])-ROW(INDEX(할일표[구분],1))+1),5)),구분표[구분],0))),"")</f>
        <v/>
      </c>
      <c r="S12" s="75" t="str">
        <f t="array" ref="S12">IFERROR(IF(COUNTIFS(할일표[날짜],R$7,할일표[업무],"&lt;&gt;")&lt;5,"",INDEX(할일표[표시],SMALL(IF((할일표[날짜]=R$7)*(할일표[업무]&lt;&gt;""),ROW(할일표[표시])-ROW(INDEX(할일표[표시],1))+1),5))),"")</f>
        <v/>
      </c>
      <c r="T12" s="80" t="str">
        <f t="array" ref="T12">IFERROR(IF(COUNTIFS(할일표[날짜],R$7,할일표[업무],"&lt;&gt;")&lt;5,"",INDEX(할일표[업무],SMALL(IF((할일표[날짜]=R$7)*(할일표[업무]&lt;&gt;""),ROW(할일표[날짜])-피벗!$T$11),5))),"")</f>
        <v/>
      </c>
      <c r="U12" s="76" t="str">
        <f t="array" ref="U12">IFERROR(IF(COUNTIFS(할일표[날짜],R$7,할일표[업무],"&lt;&gt;")&lt;5,"",INDEX(할일표[진행률],SMALL(IF((할일표[날짜]=R$7)*(할일표[업무]&lt;&gt;""),ROW(할일표[날짜])-피벗!$T$11),5))),"")</f>
        <v/>
      </c>
      <c r="V12" s="74" t="str">
        <f t="array" ref="V12">IFERROR(IF(COUNTIFS(할일표[날짜],V$7,할일표[업무],"&lt;&gt;")&lt;5,"",INDEX(구분표[아이콘],MATCH(INDEX(할일표[구분],SMALL(IF((할일표[날짜]=V$7)*(할일표[업무]&lt;&gt;""),ROW(할일표[구분])-ROW(INDEX(할일표[구분],1))+1),5)),구분표[구분],0))),"")</f>
        <v/>
      </c>
      <c r="W12" s="75" t="str">
        <f t="array" ref="W12">IFERROR(IF(COUNTIFS(할일표[날짜],V$7,할일표[업무],"&lt;&gt;")&lt;5,"",INDEX(할일표[표시],SMALL(IF((할일표[날짜]=V$7)*(할일표[업무]&lt;&gt;""),ROW(할일표[표시])-ROW(INDEX(할일표[표시],1))+1),5))),"")</f>
        <v/>
      </c>
      <c r="X12" s="80" t="str">
        <f t="array" ref="X12">IFERROR(IF(COUNTIFS(할일표[날짜],V$7,할일표[업무],"&lt;&gt;")&lt;5,"",INDEX(할일표[업무],SMALL(IF((할일표[날짜]=V$7)*(할일표[업무]&lt;&gt;""),ROW(할일표[날짜])-피벗!$T$11),5))),"")</f>
        <v/>
      </c>
      <c r="Y12" s="76" t="str">
        <f t="array" ref="Y12">IFERROR(IF(COUNTIFS(할일표[날짜],V$7,할일표[업무],"&lt;&gt;")&lt;5,"",INDEX(할일표[진행률],SMALL(IF((할일표[날짜]=V$7)*(할일표[업무]&lt;&gt;""),ROW(할일표[날짜])-피벗!$T$11),5))),"")</f>
        <v/>
      </c>
      <c r="Z12" s="74" t="str">
        <f t="array" ref="Z12">IFERROR(IF(COUNTIFS(할일표[날짜],Z$7,할일표[업무],"&lt;&gt;")&lt;5,"",INDEX(구분표[아이콘],MATCH(INDEX(할일표[구분],SMALL(IF((할일표[날짜]=Z$7)*(할일표[업무]&lt;&gt;""),ROW(할일표[구분])-ROW(INDEX(할일표[구분],1))+1),5)),구분표[구분],0))),"")</f>
        <v/>
      </c>
      <c r="AA12" s="75" t="str">
        <f t="array" ref="AA12">IFERROR(IF(COUNTIFS(할일표[날짜],Z$7,할일표[업무],"&lt;&gt;")&lt;5,"",INDEX(할일표[표시],SMALL(IF((할일표[날짜]=Z$7)*(할일표[업무]&lt;&gt;""),ROW(할일표[표시])-ROW(INDEX(할일표[표시],1))+1),5))),"")</f>
        <v/>
      </c>
      <c r="AB12" s="80" t="str">
        <f t="array" ref="AB12">IFERROR(IF(COUNTIFS(할일표[날짜],Z$7,할일표[업무],"&lt;&gt;")&lt;5,"",INDEX(할일표[업무],SMALL(IF((할일표[날짜]=Z$7)*(할일표[업무]&lt;&gt;""),ROW(할일표[날짜])-피벗!$T$11),5))),"")</f>
        <v/>
      </c>
      <c r="AC12" s="76" t="str">
        <f t="array" ref="AC12">IFERROR(IF(COUNTIFS(할일표[날짜],Z$7,할일표[업무],"&lt;&gt;")&lt;5,"",INDEX(할일표[진행률],SMALL(IF((할일표[날짜]=Z$7)*(할일표[업무]&lt;&gt;""),ROW(할일표[날짜])-피벗!$T$11),5))),"")</f>
        <v/>
      </c>
      <c r="AI12" s="81"/>
      <c r="AJ12" s="50">
        <f ca="1">RAND()</f>
        <v>0.53601843774059144</v>
      </c>
      <c r="AK12" s="50">
        <f ca="1">RAND()</f>
        <v>6.4125507495577216E-2</v>
      </c>
      <c r="AL12" s="50">
        <f t="shared" ca="1" si="1"/>
        <v>0.61386592796221862</v>
      </c>
      <c r="AM12" s="50">
        <f t="shared" ca="1" si="0"/>
        <v>0.56466022885895617</v>
      </c>
      <c r="AN12" s="50">
        <f t="shared" ca="1" si="2"/>
        <v>0.33911561273946023</v>
      </c>
      <c r="AO12" s="50">
        <f ca="1">RAND()</f>
        <v>0.12627391529396137</v>
      </c>
      <c r="AP12" s="50">
        <f ca="1">RAND()</f>
        <v>0.42399015642125581</v>
      </c>
      <c r="AQ12" s="81"/>
    </row>
    <row r="13" spans="2:43" s="48" customFormat="1" ht="21" customHeight="1" x14ac:dyDescent="0.45">
      <c r="B13" s="74" t="str">
        <f t="array" ref="B13">IFERROR(IF(COUNTIFS(할일표[날짜],B$7,할일표[업무],"&lt;&gt;")&lt;6,"",INDEX(구분표[아이콘],MATCH(INDEX(할일표[구분],SMALL(IF((할일표[날짜]=B$7)*(할일표[업무]&lt;&gt;""),ROW(할일표[구분])-ROW(INDEX(할일표[구분],1))+1),6)),구분표[구분],0))),"")</f>
        <v/>
      </c>
      <c r="C13" s="75" t="str">
        <f t="array" ref="C13">IFERROR(IF(COUNTIFS(할일표[날짜],B$7,할일표[업무],"&lt;&gt;")&lt;6,"",INDEX(할일표[표시],SMALL(IF((할일표[날짜]=B$7)*(할일표[업무]&lt;&gt;""),ROW(할일표[표시])-ROW(INDEX(할일표[표시],1))+1),6))),"")</f>
        <v/>
      </c>
      <c r="D13" s="80" t="str">
        <f t="array" ref="D13">IFERROR(IF(COUNTIFS(할일표[날짜],B$7,할일표[업무],"&lt;&gt;")&lt;6,"",INDEX(할일표[업무],SMALL(IF((할일표[날짜]=B$7)*(할일표[업무]&lt;&gt;""),ROW(할일표[날짜])-피벗!$T$11),6))),"")</f>
        <v/>
      </c>
      <c r="E13" s="76" t="str">
        <f t="array" ref="E13">IFERROR(IF(COUNTIFS(할일표[날짜],B$7,할일표[업무],"&lt;&gt;")&lt;6,"",INDEX(할일표[진행률],SMALL(IF((할일표[날짜]=B$7)*(할일표[업무]&lt;&gt;""),ROW(할일표[날짜])-피벗!$T$11),6))),"")</f>
        <v/>
      </c>
      <c r="F13" s="74" t="str">
        <f t="array" ref="F13">IFERROR(IF(COUNTIFS(할일표[날짜],F$7,할일표[업무],"&lt;&gt;")&lt;6,"",INDEX(구분표[아이콘],MATCH(INDEX(할일표[구분],SMALL(IF((할일표[날짜]=F$7)*(할일표[업무]&lt;&gt;""),ROW(할일표[구분])-ROW(INDEX(할일표[구분],1))+1),6)),구분표[구분],0))),"")</f>
        <v/>
      </c>
      <c r="G13" s="75" t="str">
        <f t="array" ref="G13">IFERROR(IF(COUNTIFS(할일표[날짜],F$7,할일표[업무],"&lt;&gt;")&lt;6,"",INDEX(할일표[표시],SMALL(IF((할일표[날짜]=F$7)*(할일표[업무]&lt;&gt;""),ROW(할일표[표시])-ROW(INDEX(할일표[표시],1))+1),6))),"")</f>
        <v/>
      </c>
      <c r="H13" s="80" t="str">
        <f t="array" ref="H13">IFERROR(IF(COUNTIFS(할일표[날짜],F$7,할일표[업무],"&lt;&gt;")&lt;6,"",INDEX(할일표[업무],SMALL(IF((할일표[날짜]=F$7)*(할일표[업무]&lt;&gt;""),ROW(할일표[날짜])-피벗!$T$11),6))),"")</f>
        <v/>
      </c>
      <c r="I13" s="76" t="str">
        <f t="array" ref="I13">IFERROR(IF(COUNTIFS(할일표[날짜],F$7,할일표[업무],"&lt;&gt;")&lt;6,"",INDEX(할일표[진행률],SMALL(IF((할일표[날짜]=F$7)*(할일표[업무]&lt;&gt;""),ROW(할일표[날짜])-피벗!$T$11),6))),"")</f>
        <v/>
      </c>
      <c r="J13" s="74" t="str">
        <f t="array" ref="J13">IFERROR(IF(COUNTIFS(할일표[날짜],J$7,할일표[업무],"&lt;&gt;")&lt;6,"",INDEX(구분표[아이콘],MATCH(INDEX(할일표[구분],SMALL(IF((할일표[날짜]=J$7)*(할일표[업무]&lt;&gt;""),ROW(할일표[구분])-ROW(INDEX(할일표[구분],1))+1),6)),구분표[구분],0))),"")</f>
        <v/>
      </c>
      <c r="K13" s="75" t="str">
        <f t="array" ref="K13">IFERROR(IF(COUNTIFS(할일표[날짜],J$7,할일표[업무],"&lt;&gt;")&lt;6,"",INDEX(할일표[표시],SMALL(IF((할일표[날짜]=J$7)*(할일표[업무]&lt;&gt;""),ROW(할일표[표시])-ROW(INDEX(할일표[표시],1))+1),6))),"")</f>
        <v/>
      </c>
      <c r="L13" s="80" t="str">
        <f t="array" ref="L13">IFERROR(IF(COUNTIFS(할일표[날짜],J$7,할일표[업무],"&lt;&gt;")&lt;6,"",INDEX(할일표[업무],SMALL(IF((할일표[날짜]=J$7)*(할일표[업무]&lt;&gt;""),ROW(할일표[날짜])-피벗!$T$11),6))),"")</f>
        <v/>
      </c>
      <c r="M13" s="76" t="str">
        <f t="array" ref="M13">IFERROR(IF(COUNTIFS(할일표[날짜],J$7,할일표[업무],"&lt;&gt;")&lt;6,"",INDEX(할일표[진행률],SMALL(IF((할일표[날짜]=J$7)*(할일표[업무]&lt;&gt;""),ROW(할일표[날짜])-피벗!$T$11),6))),"")</f>
        <v/>
      </c>
      <c r="N13" s="74" t="str">
        <f t="array" ref="N13">IFERROR(IF(COUNTIFS(할일표[날짜],N$7,할일표[업무],"&lt;&gt;")&lt;6,"",INDEX(구분표[아이콘],MATCH(INDEX(할일표[구분],SMALL(IF((할일표[날짜]=N$7)*(할일표[업무]&lt;&gt;""),ROW(할일표[구분])-ROW(INDEX(할일표[구분],1))+1),6)),구분표[구분],0))),"")</f>
        <v/>
      </c>
      <c r="O13" s="75" t="str">
        <f t="array" ref="O13">IFERROR(IF(COUNTIFS(할일표[날짜],N$7,할일표[업무],"&lt;&gt;")&lt;6,"",INDEX(할일표[표시],SMALL(IF((할일표[날짜]=N$7)*(할일표[업무]&lt;&gt;""),ROW(할일표[표시])-ROW(INDEX(할일표[표시],1))+1),6))),"")</f>
        <v/>
      </c>
      <c r="P13" s="80" t="str">
        <f t="array" ref="P13">IFERROR(IF(COUNTIFS(할일표[날짜],N$7,할일표[업무],"&lt;&gt;")&lt;6,"",INDEX(할일표[업무],SMALL(IF((할일표[날짜]=N$7)*(할일표[업무]&lt;&gt;""),ROW(할일표[날짜])-피벗!$T$11),6))),"")</f>
        <v/>
      </c>
      <c r="Q13" s="76" t="str">
        <f t="array" ref="Q13">IFERROR(IF(COUNTIFS(할일표[날짜],N$7,할일표[업무],"&lt;&gt;")&lt;6,"",INDEX(할일표[진행률],SMALL(IF((할일표[날짜]=N$7)*(할일표[업무]&lt;&gt;""),ROW(할일표[날짜])-피벗!$T$11),6))),"")</f>
        <v/>
      </c>
      <c r="R13" s="74" t="str">
        <f t="array" ref="R13">IFERROR(IF(COUNTIFS(할일표[날짜],R$7,할일표[업무],"&lt;&gt;")&lt;6,"",INDEX(구분표[아이콘],MATCH(INDEX(할일표[구분],SMALL(IF((할일표[날짜]=R$7)*(할일표[업무]&lt;&gt;""),ROW(할일표[구분])-ROW(INDEX(할일표[구분],1))+1),6)),구분표[구분],0))),"")</f>
        <v/>
      </c>
      <c r="S13" s="75" t="str">
        <f t="array" ref="S13">IFERROR(IF(COUNTIFS(할일표[날짜],R$7,할일표[업무],"&lt;&gt;")&lt;6,"",INDEX(할일표[표시],SMALL(IF((할일표[날짜]=R$7)*(할일표[업무]&lt;&gt;""),ROW(할일표[표시])-ROW(INDEX(할일표[표시],1))+1),6))),"")</f>
        <v/>
      </c>
      <c r="T13" s="80" t="str">
        <f t="array" ref="T13">IFERROR(IF(COUNTIFS(할일표[날짜],R$7,할일표[업무],"&lt;&gt;")&lt;6,"",INDEX(할일표[업무],SMALL(IF((할일표[날짜]=R$7)*(할일표[업무]&lt;&gt;""),ROW(할일표[날짜])-피벗!$T$11),6))),"")</f>
        <v/>
      </c>
      <c r="U13" s="76" t="str">
        <f t="array" ref="U13">IFERROR(IF(COUNTIFS(할일표[날짜],R$7,할일표[업무],"&lt;&gt;")&lt;6,"",INDEX(할일표[진행률],SMALL(IF((할일표[날짜]=R$7)*(할일표[업무]&lt;&gt;""),ROW(할일표[날짜])-피벗!$T$11),6))),"")</f>
        <v/>
      </c>
      <c r="V13" s="74" t="str">
        <f t="array" ref="V13">IFERROR(IF(COUNTIFS(할일표[날짜],V$7,할일표[업무],"&lt;&gt;")&lt;6,"",INDEX(구분표[아이콘],MATCH(INDEX(할일표[구분],SMALL(IF((할일표[날짜]=V$7)*(할일표[업무]&lt;&gt;""),ROW(할일표[구분])-ROW(INDEX(할일표[구분],1))+1),6)),구분표[구분],0))),"")</f>
        <v/>
      </c>
      <c r="W13" s="75" t="str">
        <f t="array" ref="W13">IFERROR(IF(COUNTIFS(할일표[날짜],V$7,할일표[업무],"&lt;&gt;")&lt;6,"",INDEX(할일표[표시],SMALL(IF((할일표[날짜]=V$7)*(할일표[업무]&lt;&gt;""),ROW(할일표[표시])-ROW(INDEX(할일표[표시],1))+1),6))),"")</f>
        <v/>
      </c>
      <c r="X13" s="80" t="str">
        <f t="array" ref="X13">IFERROR(IF(COUNTIFS(할일표[날짜],V$7,할일표[업무],"&lt;&gt;")&lt;6,"",INDEX(할일표[업무],SMALL(IF((할일표[날짜]=V$7)*(할일표[업무]&lt;&gt;""),ROW(할일표[날짜])-피벗!$T$11),6))),"")</f>
        <v/>
      </c>
      <c r="Y13" s="76" t="str">
        <f t="array" ref="Y13">IFERROR(IF(COUNTIFS(할일표[날짜],V$7,할일표[업무],"&lt;&gt;")&lt;6,"",INDEX(할일표[진행률],SMALL(IF((할일표[날짜]=V$7)*(할일표[업무]&lt;&gt;""),ROW(할일표[날짜])-피벗!$T$11),6))),"")</f>
        <v/>
      </c>
      <c r="Z13" s="74" t="str">
        <f t="array" ref="Z13">IFERROR(IF(COUNTIFS(할일표[날짜],Z$7,할일표[업무],"&lt;&gt;")&lt;6,"",INDEX(구분표[아이콘],MATCH(INDEX(할일표[구분],SMALL(IF((할일표[날짜]=Z$7)*(할일표[업무]&lt;&gt;""),ROW(할일표[구분])-ROW(INDEX(할일표[구분],1))+1),6)),구분표[구분],0))),"")</f>
        <v/>
      </c>
      <c r="AA13" s="75" t="str">
        <f t="array" ref="AA13">IFERROR(IF(COUNTIFS(할일표[날짜],Z$7,할일표[업무],"&lt;&gt;")&lt;6,"",INDEX(할일표[표시],SMALL(IF((할일표[날짜]=Z$7)*(할일표[업무]&lt;&gt;""),ROW(할일표[표시])-ROW(INDEX(할일표[표시],1))+1),6))),"")</f>
        <v/>
      </c>
      <c r="AB13" s="80" t="str">
        <f t="array" ref="AB13">IFERROR(IF(COUNTIFS(할일표[날짜],Z$7,할일표[업무],"&lt;&gt;")&lt;6,"",INDEX(할일표[업무],SMALL(IF((할일표[날짜]=Z$7)*(할일표[업무]&lt;&gt;""),ROW(할일표[날짜])-피벗!$T$11),6))),"")</f>
        <v/>
      </c>
      <c r="AC13" s="76" t="str">
        <f t="array" ref="AC13">IFERROR(IF(COUNTIFS(할일표[날짜],Z$7,할일표[업무],"&lt;&gt;")&lt;6,"",INDEX(할일표[진행률],SMALL(IF((할일표[날짜]=Z$7)*(할일표[업무]&lt;&gt;""),ROW(할일표[날짜])-피벗!$T$11),6))),"")</f>
        <v/>
      </c>
      <c r="AI13" s="47">
        <f ca="1">RAND()</f>
        <v>0.65704774947315969</v>
      </c>
      <c r="AJ13" s="47">
        <f ca="1">RAND()</f>
        <v>0.74751712583676144</v>
      </c>
      <c r="AK13" s="47">
        <f ca="1">RAND()</f>
        <v>0.5455249855815828</v>
      </c>
      <c r="AL13" s="47">
        <f t="shared" ca="1" si="1"/>
        <v>0.92137768880493642</v>
      </c>
      <c r="AM13" s="47">
        <f t="shared" ca="1" si="0"/>
        <v>4.2573141202630893E-3</v>
      </c>
      <c r="AN13" s="47">
        <f t="shared" ca="1" si="2"/>
        <v>0.50821213708592106</v>
      </c>
      <c r="AO13" s="47">
        <f ca="1">RAND()</f>
        <v>0.26466437904497198</v>
      </c>
      <c r="AP13" s="47">
        <f ca="1">RAND()</f>
        <v>0.67682140179085271</v>
      </c>
      <c r="AQ13" s="47">
        <f ca="1">RAND()</f>
        <v>0.6475570183488395</v>
      </c>
    </row>
    <row r="14" spans="2:43" s="48" customFormat="1" ht="21" customHeight="1" x14ac:dyDescent="0.45">
      <c r="B14" s="74" t="str">
        <f t="array" ref="B14">IFERROR(IF(COUNTIFS(할일표[날짜],B$7,할일표[업무],"&lt;&gt;")&lt;7,"",INDEX(구분표[아이콘],MATCH(INDEX(할일표[구분],SMALL(IF((할일표[날짜]=B$7)*(할일표[업무]&lt;&gt;""),ROW(할일표[구분])-ROW(INDEX(할일표[구분],1))+1),7)),구분표[구분],0))),"")</f>
        <v/>
      </c>
      <c r="C14" s="75" t="str">
        <f t="array" ref="C14">IFERROR(IF(COUNTIFS(할일표[날짜],B$7,할일표[업무],"&lt;&gt;")&lt;7,"",INDEX(할일표[표시],SMALL(IF((할일표[날짜]=B$7)*(할일표[업무]&lt;&gt;""),ROW(할일표[표시])-ROW(INDEX(할일표[표시],1))+1),7))),"")</f>
        <v/>
      </c>
      <c r="D14" s="80" t="str">
        <f t="array" ref="D14">IFERROR(IF(COUNTIFS(할일표[날짜],B$7,할일표[업무],"&lt;&gt;")&lt;7,"",INDEX(할일표[업무],SMALL(IF((할일표[날짜]=B$7)*(할일표[업무]&lt;&gt;""),ROW(할일표[날짜])-피벗!$T$11),7))),"")</f>
        <v/>
      </c>
      <c r="E14" s="76" t="str">
        <f t="array" ref="E14">IFERROR(IF(COUNTIFS(할일표[날짜],B$7,할일표[업무],"&lt;&gt;")&lt;7,"",INDEX(할일표[진행률],SMALL(IF((할일표[날짜]=B$7)*(할일표[업무]&lt;&gt;""),ROW(할일표[날짜])-피벗!$T$11),7))),"")</f>
        <v/>
      </c>
      <c r="F14" s="74" t="str">
        <f t="array" ref="F14">IFERROR(IF(COUNTIFS(할일표[날짜],F$7,할일표[업무],"&lt;&gt;")&lt;7,"",INDEX(구분표[아이콘],MATCH(INDEX(할일표[구분],SMALL(IF((할일표[날짜]=F$7)*(할일표[업무]&lt;&gt;""),ROW(할일표[구분])-ROW(INDEX(할일표[구분],1))+1),7)),구분표[구분],0))),"")</f>
        <v/>
      </c>
      <c r="G14" s="75" t="str">
        <f t="array" ref="G14">IFERROR(IF(COUNTIFS(할일표[날짜],F$7,할일표[업무],"&lt;&gt;")&lt;7,"",INDEX(할일표[표시],SMALL(IF((할일표[날짜]=F$7)*(할일표[업무]&lt;&gt;""),ROW(할일표[표시])-ROW(INDEX(할일표[표시],1))+1),7))),"")</f>
        <v/>
      </c>
      <c r="H14" s="80" t="str">
        <f t="array" ref="H14">IFERROR(IF(COUNTIFS(할일표[날짜],F$7,할일표[업무],"&lt;&gt;")&lt;7,"",INDEX(할일표[업무],SMALL(IF((할일표[날짜]=F$7)*(할일표[업무]&lt;&gt;""),ROW(할일표[날짜])-피벗!$T$11),7))),"")</f>
        <v/>
      </c>
      <c r="I14" s="76" t="str">
        <f t="array" ref="I14">IFERROR(IF(COUNTIFS(할일표[날짜],F$7,할일표[업무],"&lt;&gt;")&lt;7,"",INDEX(할일표[진행률],SMALL(IF((할일표[날짜]=F$7)*(할일표[업무]&lt;&gt;""),ROW(할일표[날짜])-피벗!$T$11),7))),"")</f>
        <v/>
      </c>
      <c r="J14" s="74" t="str">
        <f t="array" ref="J14">IFERROR(IF(COUNTIFS(할일표[날짜],J$7,할일표[업무],"&lt;&gt;")&lt;7,"",INDEX(구분표[아이콘],MATCH(INDEX(할일표[구분],SMALL(IF((할일표[날짜]=J$7)*(할일표[업무]&lt;&gt;""),ROW(할일표[구분])-ROW(INDEX(할일표[구분],1))+1),7)),구분표[구분],0))),"")</f>
        <v/>
      </c>
      <c r="K14" s="75" t="str">
        <f t="array" ref="K14">IFERROR(IF(COUNTIFS(할일표[날짜],J$7,할일표[업무],"&lt;&gt;")&lt;7,"",INDEX(할일표[표시],SMALL(IF((할일표[날짜]=J$7)*(할일표[업무]&lt;&gt;""),ROW(할일표[표시])-ROW(INDEX(할일표[표시],1))+1),7))),"")</f>
        <v/>
      </c>
      <c r="L14" s="80" t="str">
        <f t="array" ref="L14">IFERROR(IF(COUNTIFS(할일표[날짜],J$7,할일표[업무],"&lt;&gt;")&lt;7,"",INDEX(할일표[업무],SMALL(IF((할일표[날짜]=J$7)*(할일표[업무]&lt;&gt;""),ROW(할일표[날짜])-피벗!$T$11),7))),"")</f>
        <v/>
      </c>
      <c r="M14" s="76" t="str">
        <f t="array" ref="M14">IFERROR(IF(COUNTIFS(할일표[날짜],J$7,할일표[업무],"&lt;&gt;")&lt;7,"",INDEX(할일표[진행률],SMALL(IF((할일표[날짜]=J$7)*(할일표[업무]&lt;&gt;""),ROW(할일표[날짜])-피벗!$T$11),7))),"")</f>
        <v/>
      </c>
      <c r="N14" s="74" t="str">
        <f t="array" ref="N14">IFERROR(IF(COUNTIFS(할일표[날짜],N$7,할일표[업무],"&lt;&gt;")&lt;7,"",INDEX(구분표[아이콘],MATCH(INDEX(할일표[구분],SMALL(IF((할일표[날짜]=N$7)*(할일표[업무]&lt;&gt;""),ROW(할일표[구분])-ROW(INDEX(할일표[구분],1))+1),7)),구분표[구분],0))),"")</f>
        <v/>
      </c>
      <c r="O14" s="75" t="str">
        <f t="array" ref="O14">IFERROR(IF(COUNTIFS(할일표[날짜],N$7,할일표[업무],"&lt;&gt;")&lt;7,"",INDEX(할일표[표시],SMALL(IF((할일표[날짜]=N$7)*(할일표[업무]&lt;&gt;""),ROW(할일표[표시])-ROW(INDEX(할일표[표시],1))+1),7))),"")</f>
        <v/>
      </c>
      <c r="P14" s="80" t="str">
        <f t="array" ref="P14">IFERROR(IF(COUNTIFS(할일표[날짜],N$7,할일표[업무],"&lt;&gt;")&lt;7,"",INDEX(할일표[업무],SMALL(IF((할일표[날짜]=N$7)*(할일표[업무]&lt;&gt;""),ROW(할일표[날짜])-피벗!$T$11),7))),"")</f>
        <v/>
      </c>
      <c r="Q14" s="76" t="str">
        <f t="array" ref="Q14">IFERROR(IF(COUNTIFS(할일표[날짜],N$7,할일표[업무],"&lt;&gt;")&lt;7,"",INDEX(할일표[진행률],SMALL(IF((할일표[날짜]=N$7)*(할일표[업무]&lt;&gt;""),ROW(할일표[날짜])-피벗!$T$11),7))),"")</f>
        <v/>
      </c>
      <c r="R14" s="74" t="str">
        <f t="array" ref="R14">IFERROR(IF(COUNTIFS(할일표[날짜],R$7,할일표[업무],"&lt;&gt;")&lt;7,"",INDEX(구분표[아이콘],MATCH(INDEX(할일표[구분],SMALL(IF((할일표[날짜]=R$7)*(할일표[업무]&lt;&gt;""),ROW(할일표[구분])-ROW(INDEX(할일표[구분],1))+1),7)),구분표[구분],0))),"")</f>
        <v/>
      </c>
      <c r="S14" s="75" t="str">
        <f t="array" ref="S14">IFERROR(IF(COUNTIFS(할일표[날짜],R$7,할일표[업무],"&lt;&gt;")&lt;7,"",INDEX(할일표[표시],SMALL(IF((할일표[날짜]=R$7)*(할일표[업무]&lt;&gt;""),ROW(할일표[표시])-ROW(INDEX(할일표[표시],1))+1),7))),"")</f>
        <v/>
      </c>
      <c r="T14" s="80" t="str">
        <f t="array" ref="T14">IFERROR(IF(COUNTIFS(할일표[날짜],R$7,할일표[업무],"&lt;&gt;")&lt;7,"",INDEX(할일표[업무],SMALL(IF((할일표[날짜]=R$7)*(할일표[업무]&lt;&gt;""),ROW(할일표[날짜])-피벗!$T$11),7))),"")</f>
        <v/>
      </c>
      <c r="U14" s="76" t="str">
        <f t="array" ref="U14">IFERROR(IF(COUNTIFS(할일표[날짜],R$7,할일표[업무],"&lt;&gt;")&lt;7,"",INDEX(할일표[진행률],SMALL(IF((할일표[날짜]=R$7)*(할일표[업무]&lt;&gt;""),ROW(할일표[날짜])-피벗!$T$11),7))),"")</f>
        <v/>
      </c>
      <c r="V14" s="74" t="str">
        <f t="array" ref="V14">IFERROR(IF(COUNTIFS(할일표[날짜],V$7,할일표[업무],"&lt;&gt;")&lt;7,"",INDEX(구분표[아이콘],MATCH(INDEX(할일표[구분],SMALL(IF((할일표[날짜]=V$7)*(할일표[업무]&lt;&gt;""),ROW(할일표[구분])-ROW(INDEX(할일표[구분],1))+1),7)),구분표[구분],0))),"")</f>
        <v/>
      </c>
      <c r="W14" s="75" t="str">
        <f t="array" ref="W14">IFERROR(IF(COUNTIFS(할일표[날짜],V$7,할일표[업무],"&lt;&gt;")&lt;7,"",INDEX(할일표[표시],SMALL(IF((할일표[날짜]=V$7)*(할일표[업무]&lt;&gt;""),ROW(할일표[표시])-ROW(INDEX(할일표[표시],1))+1),7))),"")</f>
        <v/>
      </c>
      <c r="X14" s="80" t="str">
        <f t="array" ref="X14">IFERROR(IF(COUNTIFS(할일표[날짜],V$7,할일표[업무],"&lt;&gt;")&lt;7,"",INDEX(할일표[업무],SMALL(IF((할일표[날짜]=V$7)*(할일표[업무]&lt;&gt;""),ROW(할일표[날짜])-피벗!$T$11),7))),"")</f>
        <v/>
      </c>
      <c r="Y14" s="76" t="str">
        <f t="array" ref="Y14">IFERROR(IF(COUNTIFS(할일표[날짜],V$7,할일표[업무],"&lt;&gt;")&lt;7,"",INDEX(할일표[진행률],SMALL(IF((할일표[날짜]=V$7)*(할일표[업무]&lt;&gt;""),ROW(할일표[날짜])-피벗!$T$11),7))),"")</f>
        <v/>
      </c>
      <c r="Z14" s="74" t="str">
        <f t="array" ref="Z14">IFERROR(IF(COUNTIFS(할일표[날짜],Z$7,할일표[업무],"&lt;&gt;")&lt;7,"",INDEX(구분표[아이콘],MATCH(INDEX(할일표[구분],SMALL(IF((할일표[날짜]=Z$7)*(할일표[업무]&lt;&gt;""),ROW(할일표[구분])-ROW(INDEX(할일표[구분],1))+1),7)),구분표[구분],0))),"")</f>
        <v/>
      </c>
      <c r="AA14" s="75" t="str">
        <f t="array" ref="AA14">IFERROR(IF(COUNTIFS(할일표[날짜],Z$7,할일표[업무],"&lt;&gt;")&lt;7,"",INDEX(할일표[표시],SMALL(IF((할일표[날짜]=Z$7)*(할일표[업무]&lt;&gt;""),ROW(할일표[표시])-ROW(INDEX(할일표[표시],1))+1),7))),"")</f>
        <v/>
      </c>
      <c r="AB14" s="80" t="str">
        <f t="array" ref="AB14">IFERROR(IF(COUNTIFS(할일표[날짜],Z$7,할일표[업무],"&lt;&gt;")&lt;7,"",INDEX(할일표[업무],SMALL(IF((할일표[날짜]=Z$7)*(할일표[업무]&lt;&gt;""),ROW(할일표[날짜])-피벗!$T$11),7))),"")</f>
        <v/>
      </c>
      <c r="AC14" s="76" t="str">
        <f t="array" ref="AC14">IFERROR(IF(COUNTIFS(할일표[날짜],Z$7,할일표[업무],"&lt;&gt;")&lt;7,"",INDEX(할일표[진행률],SMALL(IF((할일표[날짜]=Z$7)*(할일표[업무]&lt;&gt;""),ROW(할일표[날짜])-피벗!$T$11),7))),"")</f>
        <v/>
      </c>
      <c r="AM14" s="51"/>
    </row>
    <row r="15" spans="2:43" s="48" customFormat="1" ht="21" customHeight="1" x14ac:dyDescent="0.45">
      <c r="B15" s="74" t="str">
        <f t="array" ref="B15">IFERROR(IF(COUNTIFS(할일표[날짜],B$7,할일표[업무],"&lt;&gt;")&lt;8,"",INDEX(구분표[아이콘],MATCH(INDEX(할일표[구분],SMALL(IF((할일표[날짜]=B$7)*(할일표[업무]&lt;&gt;""),ROW(할일표[구분])-ROW(INDEX(할일표[구분],1))+1),8)),구분표[구분],0))),"")</f>
        <v/>
      </c>
      <c r="C15" s="75" t="str">
        <f t="array" ref="C15">IFERROR(IF(COUNTIFS(할일표[날짜],B$7,할일표[업무],"&lt;&gt;")&lt;8,"",INDEX(할일표[표시],SMALL(IF((할일표[날짜]=B$7)*(할일표[업무]&lt;&gt;""),ROW(할일표[표시])-ROW(INDEX(할일표[표시],1))+1),8))),"")</f>
        <v/>
      </c>
      <c r="D15" s="80" t="str">
        <f t="array" ref="D15">IFERROR(IF(COUNTIFS(할일표[날짜],B$7,할일표[업무],"&lt;&gt;")&lt;8,"",INDEX(할일표[업무],SMALL(IF((할일표[날짜]=B$7)*(할일표[업무]&lt;&gt;""),ROW(할일표[날짜])-피벗!$T$11),8))),"")</f>
        <v/>
      </c>
      <c r="E15" s="76" t="str">
        <f t="array" ref="E15">IFERROR(IF(COUNTIFS(할일표[날짜],B$7,할일표[업무],"&lt;&gt;")&lt;8,"",INDEX(할일표[진행률],SMALL(IF((할일표[날짜]=B$7)*(할일표[업무]&lt;&gt;""),ROW(할일표[날짜])-피벗!$T$11),8))),"")</f>
        <v/>
      </c>
      <c r="F15" s="74" t="str">
        <f t="array" ref="F15">IFERROR(IF(COUNTIFS(할일표[날짜],F$7,할일표[업무],"&lt;&gt;")&lt;8,"",INDEX(구분표[아이콘],MATCH(INDEX(할일표[구분],SMALL(IF((할일표[날짜]=F$7)*(할일표[업무]&lt;&gt;""),ROW(할일표[구분])-ROW(INDEX(할일표[구분],1))+1),8)),구분표[구분],0))),"")</f>
        <v/>
      </c>
      <c r="G15" s="75" t="str">
        <f t="array" ref="G15">IFERROR(IF(COUNTIFS(할일표[날짜],F$7,할일표[업무],"&lt;&gt;")&lt;8,"",INDEX(할일표[표시],SMALL(IF((할일표[날짜]=F$7)*(할일표[업무]&lt;&gt;""),ROW(할일표[표시])-ROW(INDEX(할일표[표시],1))+1),8))),"")</f>
        <v/>
      </c>
      <c r="H15" s="80" t="str">
        <f t="array" ref="H15">IFERROR(IF(COUNTIFS(할일표[날짜],F$7,할일표[업무],"&lt;&gt;")&lt;8,"",INDEX(할일표[업무],SMALL(IF((할일표[날짜]=F$7)*(할일표[업무]&lt;&gt;""),ROW(할일표[날짜])-피벗!$T$11),8))),"")</f>
        <v/>
      </c>
      <c r="I15" s="76" t="str">
        <f t="array" ref="I15">IFERROR(IF(COUNTIFS(할일표[날짜],F$7,할일표[업무],"&lt;&gt;")&lt;8,"",INDEX(할일표[진행률],SMALL(IF((할일표[날짜]=F$7)*(할일표[업무]&lt;&gt;""),ROW(할일표[날짜])-피벗!$T$11),8))),"")</f>
        <v/>
      </c>
      <c r="J15" s="74" t="str">
        <f t="array" ref="J15">IFERROR(IF(COUNTIFS(할일표[날짜],J$7,할일표[업무],"&lt;&gt;")&lt;8,"",INDEX(구분표[아이콘],MATCH(INDEX(할일표[구분],SMALL(IF((할일표[날짜]=J$7)*(할일표[업무]&lt;&gt;""),ROW(할일표[구분])-ROW(INDEX(할일표[구분],1))+1),8)),구분표[구분],0))),"")</f>
        <v/>
      </c>
      <c r="K15" s="75" t="str">
        <f t="array" ref="K15">IFERROR(IF(COUNTIFS(할일표[날짜],J$7,할일표[업무],"&lt;&gt;")&lt;8,"",INDEX(할일표[표시],SMALL(IF((할일표[날짜]=J$7)*(할일표[업무]&lt;&gt;""),ROW(할일표[표시])-ROW(INDEX(할일표[표시],1))+1),8))),"")</f>
        <v/>
      </c>
      <c r="L15" s="80" t="str">
        <f t="array" ref="L15">IFERROR(IF(COUNTIFS(할일표[날짜],J$7,할일표[업무],"&lt;&gt;")&lt;8,"",INDEX(할일표[업무],SMALL(IF((할일표[날짜]=J$7)*(할일표[업무]&lt;&gt;""),ROW(할일표[날짜])-피벗!$T$11),8))),"")</f>
        <v/>
      </c>
      <c r="M15" s="76" t="str">
        <f t="array" ref="M15">IFERROR(IF(COUNTIFS(할일표[날짜],J$7,할일표[업무],"&lt;&gt;")&lt;8,"",INDEX(할일표[진행률],SMALL(IF((할일표[날짜]=J$7)*(할일표[업무]&lt;&gt;""),ROW(할일표[날짜])-피벗!$T$11),8))),"")</f>
        <v/>
      </c>
      <c r="N15" s="74" t="str">
        <f t="array" ref="N15">IFERROR(IF(COUNTIFS(할일표[날짜],N$7,할일표[업무],"&lt;&gt;")&lt;8,"",INDEX(구분표[아이콘],MATCH(INDEX(할일표[구분],SMALL(IF((할일표[날짜]=N$7)*(할일표[업무]&lt;&gt;""),ROW(할일표[구분])-ROW(INDEX(할일표[구분],1))+1),8)),구분표[구분],0))),"")</f>
        <v/>
      </c>
      <c r="O15" s="75" t="str">
        <f t="array" ref="O15">IFERROR(IF(COUNTIFS(할일표[날짜],N$7,할일표[업무],"&lt;&gt;")&lt;8,"",INDEX(할일표[표시],SMALL(IF((할일표[날짜]=N$7)*(할일표[업무]&lt;&gt;""),ROW(할일표[표시])-ROW(INDEX(할일표[표시],1))+1),8))),"")</f>
        <v/>
      </c>
      <c r="P15" s="80" t="str">
        <f t="array" ref="P15">IFERROR(IF(COUNTIFS(할일표[날짜],N$7,할일표[업무],"&lt;&gt;")&lt;8,"",INDEX(할일표[업무],SMALL(IF((할일표[날짜]=N$7)*(할일표[업무]&lt;&gt;""),ROW(할일표[날짜])-피벗!$T$11),8))),"")</f>
        <v/>
      </c>
      <c r="Q15" s="76" t="str">
        <f t="array" ref="Q15">IFERROR(IF(COUNTIFS(할일표[날짜],N$7,할일표[업무],"&lt;&gt;")&lt;8,"",INDEX(할일표[진행률],SMALL(IF((할일표[날짜]=N$7)*(할일표[업무]&lt;&gt;""),ROW(할일표[날짜])-피벗!$T$11),8))),"")</f>
        <v/>
      </c>
      <c r="R15" s="74" t="str">
        <f t="array" ref="R15">IFERROR(IF(COUNTIFS(할일표[날짜],R$7,할일표[업무],"&lt;&gt;")&lt;8,"",INDEX(구분표[아이콘],MATCH(INDEX(할일표[구분],SMALL(IF((할일표[날짜]=R$7)*(할일표[업무]&lt;&gt;""),ROW(할일표[구분])-ROW(INDEX(할일표[구분],1))+1),8)),구분표[구분],0))),"")</f>
        <v/>
      </c>
      <c r="S15" s="75" t="str">
        <f t="array" ref="S15">IFERROR(IF(COUNTIFS(할일표[날짜],R$7,할일표[업무],"&lt;&gt;")&lt;8,"",INDEX(할일표[표시],SMALL(IF((할일표[날짜]=R$7)*(할일표[업무]&lt;&gt;""),ROW(할일표[표시])-ROW(INDEX(할일표[표시],1))+1),8))),"")</f>
        <v/>
      </c>
      <c r="T15" s="80" t="str">
        <f t="array" ref="T15">IFERROR(IF(COUNTIFS(할일표[날짜],R$7,할일표[업무],"&lt;&gt;")&lt;8,"",INDEX(할일표[업무],SMALL(IF((할일표[날짜]=R$7)*(할일표[업무]&lt;&gt;""),ROW(할일표[날짜])-피벗!$T$11),8))),"")</f>
        <v/>
      </c>
      <c r="U15" s="76" t="str">
        <f t="array" ref="U15">IFERROR(IF(COUNTIFS(할일표[날짜],R$7,할일표[업무],"&lt;&gt;")&lt;8,"",INDEX(할일표[진행률],SMALL(IF((할일표[날짜]=R$7)*(할일표[업무]&lt;&gt;""),ROW(할일표[날짜])-피벗!$T$11),8))),"")</f>
        <v/>
      </c>
      <c r="V15" s="74" t="str">
        <f t="array" ref="V15">IFERROR(IF(COUNTIFS(할일표[날짜],V$7,할일표[업무],"&lt;&gt;")&lt;8,"",INDEX(구분표[아이콘],MATCH(INDEX(할일표[구분],SMALL(IF((할일표[날짜]=V$7)*(할일표[업무]&lt;&gt;""),ROW(할일표[구분])-ROW(INDEX(할일표[구분],1))+1),8)),구분표[구분],0))),"")</f>
        <v/>
      </c>
      <c r="W15" s="75" t="str">
        <f t="array" ref="W15">IFERROR(IF(COUNTIFS(할일표[날짜],V$7,할일표[업무],"&lt;&gt;")&lt;8,"",INDEX(할일표[표시],SMALL(IF((할일표[날짜]=V$7)*(할일표[업무]&lt;&gt;""),ROW(할일표[표시])-ROW(INDEX(할일표[표시],1))+1),8))),"")</f>
        <v/>
      </c>
      <c r="X15" s="80" t="str">
        <f t="array" ref="X15">IFERROR(IF(COUNTIFS(할일표[날짜],V$7,할일표[업무],"&lt;&gt;")&lt;8,"",INDEX(할일표[업무],SMALL(IF((할일표[날짜]=V$7)*(할일표[업무]&lt;&gt;""),ROW(할일표[날짜])-피벗!$T$11),8))),"")</f>
        <v/>
      </c>
      <c r="Y15" s="76" t="str">
        <f t="array" ref="Y15">IFERROR(IF(COUNTIFS(할일표[날짜],V$7,할일표[업무],"&lt;&gt;")&lt;8,"",INDEX(할일표[진행률],SMALL(IF((할일표[날짜]=V$7)*(할일표[업무]&lt;&gt;""),ROW(할일표[날짜])-피벗!$T$11),8))),"")</f>
        <v/>
      </c>
      <c r="Z15" s="74" t="str">
        <f t="array" ref="Z15">IFERROR(IF(COUNTIFS(할일표[날짜],Z$7,할일표[업무],"&lt;&gt;")&lt;8,"",INDEX(구분표[아이콘],MATCH(INDEX(할일표[구분],SMALL(IF((할일표[날짜]=Z$7)*(할일표[업무]&lt;&gt;""),ROW(할일표[구분])-ROW(INDEX(할일표[구분],1))+1),8)),구분표[구분],0))),"")</f>
        <v/>
      </c>
      <c r="AA15" s="75" t="str">
        <f t="array" ref="AA15">IFERROR(IF(COUNTIFS(할일표[날짜],Z$7,할일표[업무],"&lt;&gt;")&lt;8,"",INDEX(할일표[표시],SMALL(IF((할일표[날짜]=Z$7)*(할일표[업무]&lt;&gt;""),ROW(할일표[표시])-ROW(INDEX(할일표[표시],1))+1),8))),"")</f>
        <v/>
      </c>
      <c r="AB15" s="80" t="str">
        <f t="array" ref="AB15">IFERROR(IF(COUNTIFS(할일표[날짜],Z$7,할일표[업무],"&lt;&gt;")&lt;8,"",INDEX(할일표[업무],SMALL(IF((할일표[날짜]=Z$7)*(할일표[업무]&lt;&gt;""),ROW(할일표[날짜])-피벗!$T$11),8))),"")</f>
        <v/>
      </c>
      <c r="AC15" s="76" t="str">
        <f t="array" ref="AC15">IFERROR(IF(COUNTIFS(할일표[날짜],Z$7,할일표[업무],"&lt;&gt;")&lt;8,"",INDEX(할일표[진행률],SMALL(IF((할일표[날짜]=Z$7)*(할일표[업무]&lt;&gt;""),ROW(할일표[날짜])-피벗!$T$11),8))),"")</f>
        <v/>
      </c>
      <c r="AM15" s="52"/>
    </row>
    <row r="16" spans="2:43" ht="7.5" customHeight="1" x14ac:dyDescent="0.45">
      <c r="B16" s="87"/>
      <c r="C16" s="88"/>
      <c r="D16" s="88"/>
      <c r="E16" s="89"/>
      <c r="F16" s="87"/>
      <c r="G16" s="88"/>
      <c r="H16" s="88"/>
      <c r="I16" s="89"/>
      <c r="J16" s="87"/>
      <c r="K16" s="88"/>
      <c r="L16" s="88"/>
      <c r="M16" s="89"/>
      <c r="N16" s="87"/>
      <c r="O16" s="88"/>
      <c r="P16" s="88"/>
      <c r="Q16" s="89"/>
      <c r="R16" s="87"/>
      <c r="S16" s="88"/>
      <c r="T16" s="88"/>
      <c r="U16" s="89"/>
      <c r="V16" s="87"/>
      <c r="W16" s="88"/>
      <c r="X16" s="88"/>
      <c r="Y16" s="89"/>
      <c r="Z16" s="87"/>
      <c r="AA16" s="88"/>
      <c r="AB16" s="88"/>
      <c r="AC16" s="89"/>
      <c r="AI16" s="44"/>
      <c r="AJ16" s="44"/>
      <c r="AK16" s="44"/>
      <c r="AL16" s="44"/>
      <c r="AM16" s="48"/>
      <c r="AN16" s="44"/>
      <c r="AO16" s="44"/>
      <c r="AP16" s="44"/>
      <c r="AQ16" s="44"/>
    </row>
    <row r="17" spans="2:43" s="44" customFormat="1" ht="23.5" customHeight="1" x14ac:dyDescent="0.45">
      <c r="B17" s="71">
        <f>Z7+1</f>
        <v>46271</v>
      </c>
      <c r="C17" s="72"/>
      <c r="D17" s="72"/>
      <c r="E17" s="73"/>
      <c r="F17" s="71">
        <f>B17+1</f>
        <v>46272</v>
      </c>
      <c r="G17" s="72"/>
      <c r="H17" s="72"/>
      <c r="I17" s="73"/>
      <c r="J17" s="71">
        <f>F17+1</f>
        <v>46273</v>
      </c>
      <c r="K17" s="72"/>
      <c r="L17" s="72"/>
      <c r="M17" s="73"/>
      <c r="N17" s="71">
        <f>J17+1</f>
        <v>46274</v>
      </c>
      <c r="O17" s="72"/>
      <c r="P17" s="72"/>
      <c r="Q17" s="73"/>
      <c r="R17" s="71">
        <f>N17+1</f>
        <v>46275</v>
      </c>
      <c r="S17" s="72"/>
      <c r="T17" s="72"/>
      <c r="U17" s="73"/>
      <c r="V17" s="71">
        <f>R17+1</f>
        <v>46276</v>
      </c>
      <c r="W17" s="72"/>
      <c r="X17" s="72"/>
      <c r="Y17" s="73"/>
      <c r="Z17" s="71">
        <f>V17+1</f>
        <v>46277</v>
      </c>
      <c r="AA17" s="72"/>
      <c r="AB17" s="72"/>
      <c r="AC17" s="73"/>
    </row>
    <row r="18" spans="2:43" s="48" customFormat="1" ht="21" customHeight="1" x14ac:dyDescent="0.45">
      <c r="B18" s="77" t="str">
        <f t="array" ref="B18">IFERROR(IF(COUNTIFS(할일표[날짜],B$17,할일표[업무],"&lt;&gt;")&lt;1,"",INDEX(구분표[아이콘],MATCH(INDEX(할일표[구분],SMALL(IF((할일표[날짜]=B$17)*(할일표[업무]&lt;&gt;""),ROW(할일표[구분])-ROW(INDEX(할일표[구분],1))+1),1)),구분표[구분],0))),"")</f>
        <v/>
      </c>
      <c r="C18" s="75" t="str">
        <f t="array" ref="C18">IFERROR(IF(COUNTIFS(할일표[날짜],B$17,할일표[업무],"&lt;&gt;")&lt;1,"",INDEX(할일표[표시],SMALL(IF((할일표[날짜]=B$17)*(할일표[업무]&lt;&gt;""),ROW(할일표[표시])-ROW(INDEX(할일표[표시],1))+1),1))),"")</f>
        <v/>
      </c>
      <c r="D18" s="80" t="str">
        <f t="array" ref="D18">IFERROR(IF(COUNTIFS(할일표[날짜],B$17,할일표[업무],"&lt;&gt;")&lt;1,"",INDEX(할일표[업무],SMALL(IF((할일표[날짜]=B$17)*(할일표[업무]&lt;&gt;""),ROW(할일표[날짜])-피벗!$T$11),1))),"")</f>
        <v/>
      </c>
      <c r="E18" s="76" t="str">
        <f t="array" ref="E18">IFERROR(IF(COUNTIFS(할일표[날짜],B$17,할일표[업무],"&lt;&gt;")&lt;1,"",INDEX(할일표[진행률],SMALL(IF((할일표[날짜]=B$17)*(할일표[업무]&lt;&gt;""),ROW(할일표[날짜])-피벗!$T$11),1))),"")</f>
        <v/>
      </c>
      <c r="F18" s="77" t="str">
        <f t="array" ref="F18">IFERROR(IF(COUNTIFS(할일표[날짜],F$17,할일표[업무],"&lt;&gt;")&lt;1,"",INDEX(구분표[아이콘],MATCH(INDEX(할일표[구분],SMALL(IF((할일표[날짜]=F$17)*(할일표[업무]&lt;&gt;""),ROW(할일표[구분])-ROW(INDEX(할일표[구분],1))+1),1)),구분표[구분],0))),"")</f>
        <v/>
      </c>
      <c r="G18" s="75" t="str">
        <f t="array" ref="G18">IFERROR(IF(COUNTIFS(할일표[날짜],F$17,할일표[업무],"&lt;&gt;")&lt;1,"",INDEX(할일표[표시],SMALL(IF((할일표[날짜]=F$17)*(할일표[업무]&lt;&gt;""),ROW(할일표[표시])-ROW(INDEX(할일표[표시],1))+1),1))),"")</f>
        <v/>
      </c>
      <c r="H18" s="80" t="str">
        <f t="array" ref="H18">IFERROR(IF(COUNTIFS(할일표[날짜],F$17,할일표[업무],"&lt;&gt;")&lt;1,"",INDEX(할일표[업무],SMALL(IF((할일표[날짜]=F$17)*(할일표[업무]&lt;&gt;""),ROW(할일표[날짜])-피벗!$T$11),1))),"")</f>
        <v/>
      </c>
      <c r="I18" s="76" t="str">
        <f t="array" ref="I18">IFERROR(IF(COUNTIFS(할일표[날짜],F$17,할일표[업무],"&lt;&gt;")&lt;1,"",INDEX(할일표[진행률],SMALL(IF((할일표[날짜]=F$17)*(할일표[업무]&lt;&gt;""),ROW(할일표[날짜])-피벗!$T$11),1))),"")</f>
        <v/>
      </c>
      <c r="J18" s="77" t="str">
        <f t="array" ref="J18">IFERROR(IF(COUNTIFS(할일표[날짜],J$17,할일표[업무],"&lt;&gt;")&lt;1,"",INDEX(구분표[아이콘],MATCH(INDEX(할일표[구분],SMALL(IF((할일표[날짜]=J$17)*(할일표[업무]&lt;&gt;""),ROW(할일표[구분])-ROW(INDEX(할일표[구분],1))+1),1)),구분표[구분],0))),"")</f>
        <v/>
      </c>
      <c r="K18" s="75" t="str">
        <f t="array" ref="K18">IFERROR(IF(COUNTIFS(할일표[날짜],J$17,할일표[업무],"&lt;&gt;")&lt;1,"",INDEX(할일표[표시],SMALL(IF((할일표[날짜]=J$17)*(할일표[업무]&lt;&gt;""),ROW(할일표[표시])-ROW(INDEX(할일표[표시],1))+1),1))),"")</f>
        <v/>
      </c>
      <c r="L18" s="80" t="str">
        <f t="array" ref="L18">IFERROR(IF(COUNTIFS(할일표[날짜],J$17,할일표[업무],"&lt;&gt;")&lt;1,"",INDEX(할일표[업무],SMALL(IF((할일표[날짜]=J$17)*(할일표[업무]&lt;&gt;""),ROW(할일표[날짜])-피벗!$T$11),1))),"")</f>
        <v/>
      </c>
      <c r="M18" s="76" t="str">
        <f t="array" ref="M18">IFERROR(IF(COUNTIFS(할일표[날짜],J$17,할일표[업무],"&lt;&gt;")&lt;1,"",INDEX(할일표[진행률],SMALL(IF((할일표[날짜]=J$17)*(할일표[업무]&lt;&gt;""),ROW(할일표[날짜])-피벗!$T$11),1))),"")</f>
        <v/>
      </c>
      <c r="N18" s="77" t="str">
        <f t="array" ref="N18">IFERROR(IF(COUNTIFS(할일표[날짜],N$17,할일표[업무],"&lt;&gt;")&lt;1,"",INDEX(구분표[아이콘],MATCH(INDEX(할일표[구분],SMALL(IF((할일표[날짜]=N$17)*(할일표[업무]&lt;&gt;""),ROW(할일표[구분])-ROW(INDEX(할일표[구분],1))+1),1)),구분표[구분],0))),"")</f>
        <v/>
      </c>
      <c r="O18" s="75" t="str">
        <f t="array" ref="O18">IFERROR(IF(COUNTIFS(할일표[날짜],N$17,할일표[업무],"&lt;&gt;")&lt;1,"",INDEX(할일표[표시],SMALL(IF((할일표[날짜]=N$17)*(할일표[업무]&lt;&gt;""),ROW(할일표[표시])-ROW(INDEX(할일표[표시],1))+1),1))),"")</f>
        <v/>
      </c>
      <c r="P18" s="80" t="str">
        <f t="array" ref="P18">IFERROR(IF(COUNTIFS(할일표[날짜],N$17,할일표[업무],"&lt;&gt;")&lt;1,"",INDEX(할일표[업무],SMALL(IF((할일표[날짜]=N$17)*(할일표[업무]&lt;&gt;""),ROW(할일표[날짜])-피벗!$T$11),1))),"")</f>
        <v/>
      </c>
      <c r="Q18" s="76" t="str">
        <f t="array" ref="Q18">IFERROR(IF(COUNTIFS(할일표[날짜],N$17,할일표[업무],"&lt;&gt;")&lt;1,"",INDEX(할일표[진행률],SMALL(IF((할일표[날짜]=N$17)*(할일표[업무]&lt;&gt;""),ROW(할일표[날짜])-피벗!$T$11),1))),"")</f>
        <v/>
      </c>
      <c r="R18" s="77" t="str">
        <f t="array" ref="R18">IFERROR(IF(COUNTIFS(할일표[날짜],R$17,할일표[업무],"&lt;&gt;")&lt;1,"",INDEX(구분표[아이콘],MATCH(INDEX(할일표[구분],SMALL(IF((할일표[날짜]=R$17)*(할일표[업무]&lt;&gt;""),ROW(할일표[구분])-ROW(INDEX(할일표[구분],1))+1),1)),구분표[구분],0))),"")</f>
        <v/>
      </c>
      <c r="S18" s="75" t="str">
        <f t="array" ref="S18">IFERROR(IF(COUNTIFS(할일표[날짜],R$17,할일표[업무],"&lt;&gt;")&lt;1,"",INDEX(할일표[표시],SMALL(IF((할일표[날짜]=R$17)*(할일표[업무]&lt;&gt;""),ROW(할일표[표시])-ROW(INDEX(할일표[표시],1))+1),1))),"")</f>
        <v/>
      </c>
      <c r="T18" s="80" t="str">
        <f t="array" ref="T18">IFERROR(IF(COUNTIFS(할일표[날짜],R$17,할일표[업무],"&lt;&gt;")&lt;1,"",INDEX(할일표[업무],SMALL(IF((할일표[날짜]=R$17)*(할일표[업무]&lt;&gt;""),ROW(할일표[날짜])-피벗!$T$11),1))),"")</f>
        <v/>
      </c>
      <c r="U18" s="76" t="str">
        <f t="array" ref="U18">IFERROR(IF(COUNTIFS(할일표[날짜],R$17,할일표[업무],"&lt;&gt;")&lt;1,"",INDEX(할일표[진행률],SMALL(IF((할일표[날짜]=R$17)*(할일표[업무]&lt;&gt;""),ROW(할일표[날짜])-피벗!$T$11),1))),"")</f>
        <v/>
      </c>
      <c r="V18" s="77" t="str">
        <f t="array" ref="V18">IFERROR(IF(COUNTIFS(할일표[날짜],V$17,할일표[업무],"&lt;&gt;")&lt;1,"",INDEX(구분표[아이콘],MATCH(INDEX(할일표[구분],SMALL(IF((할일표[날짜]=V$17)*(할일표[업무]&lt;&gt;""),ROW(할일표[구분])-ROW(INDEX(할일표[구분],1))+1),1)),구분표[구분],0))),"")</f>
        <v/>
      </c>
      <c r="W18" s="75" t="str">
        <f t="array" ref="W18">IFERROR(IF(COUNTIFS(할일표[날짜],V$17,할일표[업무],"&lt;&gt;")&lt;1,"",INDEX(할일표[표시],SMALL(IF((할일표[날짜]=V$17)*(할일표[업무]&lt;&gt;""),ROW(할일표[표시])-ROW(INDEX(할일표[표시],1))+1),1))),"")</f>
        <v/>
      </c>
      <c r="X18" s="80" t="str">
        <f t="array" ref="X18">IFERROR(IF(COUNTIFS(할일표[날짜],V$17,할일표[업무],"&lt;&gt;")&lt;1,"",INDEX(할일표[업무],SMALL(IF((할일표[날짜]=V$17)*(할일표[업무]&lt;&gt;""),ROW(할일표[날짜])-피벗!$T$11),1))),"")</f>
        <v/>
      </c>
      <c r="Y18" s="76" t="str">
        <f t="array" ref="Y18">IFERROR(IF(COUNTIFS(할일표[날짜],V$17,할일표[업무],"&lt;&gt;")&lt;1,"",INDEX(할일표[진행률],SMALL(IF((할일표[날짜]=V$17)*(할일표[업무]&lt;&gt;""),ROW(할일표[날짜])-피벗!$T$11),1))),"")</f>
        <v/>
      </c>
      <c r="Z18" s="77" t="str">
        <f t="array" ref="Z18">IFERROR(IF(COUNTIFS(할일표[날짜],Z$17,할일표[업무],"&lt;&gt;")&lt;1,"",INDEX(구분표[아이콘],MATCH(INDEX(할일표[구분],SMALL(IF((할일표[날짜]=Z$17)*(할일표[업무]&lt;&gt;""),ROW(할일표[구분])-ROW(INDEX(할일표[구분],1))+1),1)),구분표[구분],0))),"")</f>
        <v/>
      </c>
      <c r="AA18" s="75" t="str">
        <f t="array" ref="AA18">IFERROR(IF(COUNTIFS(할일표[날짜],Z$17,할일표[업무],"&lt;&gt;")&lt;1,"",INDEX(할일표[표시],SMALL(IF((할일표[날짜]=Z$17)*(할일표[업무]&lt;&gt;""),ROW(할일표[표시])-ROW(INDEX(할일표[표시],1))+1),1))),"")</f>
        <v/>
      </c>
      <c r="AB18" s="80" t="str">
        <f t="array" ref="AB18">IFERROR(IF(COUNTIFS(할일표[날짜],Z$17,할일표[업무],"&lt;&gt;")&lt;1,"",INDEX(할일표[업무],SMALL(IF((할일표[날짜]=Z$17)*(할일표[업무]&lt;&gt;""),ROW(할일표[날짜])-피벗!$T$11),1))),"")</f>
        <v/>
      </c>
      <c r="AC18" s="76" t="str">
        <f t="array" ref="AC18">IFERROR(IF(COUNTIFS(할일표[날짜],Z$17,할일표[업무],"&lt;&gt;")&lt;1,"",INDEX(할일표[진행률],SMALL(IF((할일표[날짜]=Z$17)*(할일표[업무]&lt;&gt;""),ROW(할일표[날짜])-피벗!$T$11),1))),"")</f>
        <v/>
      </c>
    </row>
    <row r="19" spans="2:43" s="48" customFormat="1" ht="21" customHeight="1" x14ac:dyDescent="0.45">
      <c r="B19" s="77" t="str">
        <f t="array" ref="B19">IFERROR(IF(COUNTIFS(할일표[날짜],B$17,할일표[업무],"&lt;&gt;")&lt;2,"",INDEX(구분표[아이콘],MATCH(INDEX(할일표[구분],SMALL(IF((할일표[날짜]=B$17)*(할일표[업무]&lt;&gt;""),ROW(할일표[구분])-ROW(INDEX(할일표[구분],1))+1),2)),구분표[구분],0))),"")</f>
        <v/>
      </c>
      <c r="C19" s="75" t="str">
        <f t="array" ref="C19">IFERROR(IF(COUNTIFS(할일표[날짜],B$17,할일표[업무],"&lt;&gt;")&lt;2,"",INDEX(할일표[표시],SMALL(IF((할일표[날짜]=B$17)*(할일표[업무]&lt;&gt;""),ROW(할일표[표시])-ROW(INDEX(할일표[표시],1))+1),2))),"")</f>
        <v/>
      </c>
      <c r="D19" s="80" t="str">
        <f t="array" ref="D19">IFERROR(IF(COUNTIFS(할일표[날짜],B$17,할일표[업무],"&lt;&gt;")&lt;2,"",INDEX(할일표[업무],SMALL(IF((할일표[날짜]=B$17)*(할일표[업무]&lt;&gt;""),ROW(할일표[날짜])-피벗!$T$11),2))),"")</f>
        <v/>
      </c>
      <c r="E19" s="76" t="str">
        <f t="array" ref="E19">IFERROR(IF(COUNTIFS(할일표[날짜],B$17,할일표[업무],"&lt;&gt;")&lt;2,"",INDEX(할일표[진행률],SMALL(IF((할일표[날짜]=B$17)*(할일표[업무]&lt;&gt;""),ROW(할일표[날짜])-피벗!$T$11),2))),"")</f>
        <v/>
      </c>
      <c r="F19" s="77" t="str">
        <f t="array" ref="F19">IFERROR(IF(COUNTIFS(할일표[날짜],F$17,할일표[업무],"&lt;&gt;")&lt;2,"",INDEX(구분표[아이콘],MATCH(INDEX(할일표[구분],SMALL(IF((할일표[날짜]=F$17)*(할일표[업무]&lt;&gt;""),ROW(할일표[구분])-ROW(INDEX(할일표[구분],1))+1),2)),구분표[구분],0))),"")</f>
        <v/>
      </c>
      <c r="G19" s="75" t="str">
        <f t="array" ref="G19">IFERROR(IF(COUNTIFS(할일표[날짜],F$17,할일표[업무],"&lt;&gt;")&lt;2,"",INDEX(할일표[표시],SMALL(IF((할일표[날짜]=F$17)*(할일표[업무]&lt;&gt;""),ROW(할일표[표시])-ROW(INDEX(할일표[표시],1))+1),2))),"")</f>
        <v/>
      </c>
      <c r="H19" s="80" t="str">
        <f t="array" ref="H19">IFERROR(IF(COUNTIFS(할일표[날짜],F$17,할일표[업무],"&lt;&gt;")&lt;2,"",INDEX(할일표[업무],SMALL(IF((할일표[날짜]=F$17)*(할일표[업무]&lt;&gt;""),ROW(할일표[날짜])-피벗!$T$11),2))),"")</f>
        <v/>
      </c>
      <c r="I19" s="76" t="str">
        <f t="array" ref="I19">IFERROR(IF(COUNTIFS(할일표[날짜],F$17,할일표[업무],"&lt;&gt;")&lt;2,"",INDEX(할일표[진행률],SMALL(IF((할일표[날짜]=F$17)*(할일표[업무]&lt;&gt;""),ROW(할일표[날짜])-피벗!$T$11),2))),"")</f>
        <v/>
      </c>
      <c r="J19" s="77" t="str">
        <f t="array" ref="J19">IFERROR(IF(COUNTIFS(할일표[날짜],J$17,할일표[업무],"&lt;&gt;")&lt;2,"",INDEX(구분표[아이콘],MATCH(INDEX(할일표[구분],SMALL(IF((할일표[날짜]=J$17)*(할일표[업무]&lt;&gt;""),ROW(할일표[구분])-ROW(INDEX(할일표[구분],1))+1),2)),구분표[구분],0))),"")</f>
        <v/>
      </c>
      <c r="K19" s="75" t="str">
        <f t="array" ref="K19">IFERROR(IF(COUNTIFS(할일표[날짜],J$17,할일표[업무],"&lt;&gt;")&lt;2,"",INDEX(할일표[표시],SMALL(IF((할일표[날짜]=J$17)*(할일표[업무]&lt;&gt;""),ROW(할일표[표시])-ROW(INDEX(할일표[표시],1))+1),2))),"")</f>
        <v/>
      </c>
      <c r="L19" s="80" t="str">
        <f t="array" ref="L19">IFERROR(IF(COUNTIFS(할일표[날짜],J$17,할일표[업무],"&lt;&gt;")&lt;2,"",INDEX(할일표[업무],SMALL(IF((할일표[날짜]=J$17)*(할일표[업무]&lt;&gt;""),ROW(할일표[날짜])-피벗!$T$11),2))),"")</f>
        <v/>
      </c>
      <c r="M19" s="76" t="str">
        <f t="array" ref="M19">IFERROR(IF(COUNTIFS(할일표[날짜],J$17,할일표[업무],"&lt;&gt;")&lt;2,"",INDEX(할일표[진행률],SMALL(IF((할일표[날짜]=J$17)*(할일표[업무]&lt;&gt;""),ROW(할일표[날짜])-피벗!$T$11),2))),"")</f>
        <v/>
      </c>
      <c r="N19" s="77" t="str">
        <f t="array" ref="N19">IFERROR(IF(COUNTIFS(할일표[날짜],N$17,할일표[업무],"&lt;&gt;")&lt;2,"",INDEX(구분표[아이콘],MATCH(INDEX(할일표[구분],SMALL(IF((할일표[날짜]=N$17)*(할일표[업무]&lt;&gt;""),ROW(할일표[구분])-ROW(INDEX(할일표[구분],1))+1),2)),구분표[구분],0))),"")</f>
        <v/>
      </c>
      <c r="O19" s="75" t="str">
        <f t="array" ref="O19">IFERROR(IF(COUNTIFS(할일표[날짜],N$17,할일표[업무],"&lt;&gt;")&lt;2,"",INDEX(할일표[표시],SMALL(IF((할일표[날짜]=N$17)*(할일표[업무]&lt;&gt;""),ROW(할일표[표시])-ROW(INDEX(할일표[표시],1))+1),2))),"")</f>
        <v/>
      </c>
      <c r="P19" s="80" t="str">
        <f t="array" ref="P19">IFERROR(IF(COUNTIFS(할일표[날짜],N$17,할일표[업무],"&lt;&gt;")&lt;2,"",INDEX(할일표[업무],SMALL(IF((할일표[날짜]=N$17)*(할일표[업무]&lt;&gt;""),ROW(할일표[날짜])-피벗!$T$11),2))),"")</f>
        <v/>
      </c>
      <c r="Q19" s="76" t="str">
        <f t="array" ref="Q19">IFERROR(IF(COUNTIFS(할일표[날짜],N$17,할일표[업무],"&lt;&gt;")&lt;2,"",INDEX(할일표[진행률],SMALL(IF((할일표[날짜]=N$17)*(할일표[업무]&lt;&gt;""),ROW(할일표[날짜])-피벗!$T$11),2))),"")</f>
        <v/>
      </c>
      <c r="R19" s="77" t="str">
        <f t="array" ref="R19">IFERROR(IF(COUNTIFS(할일표[날짜],R$17,할일표[업무],"&lt;&gt;")&lt;2,"",INDEX(구분표[아이콘],MATCH(INDEX(할일표[구분],SMALL(IF((할일표[날짜]=R$17)*(할일표[업무]&lt;&gt;""),ROW(할일표[구분])-ROW(INDEX(할일표[구분],1))+1),2)),구분표[구분],0))),"")</f>
        <v/>
      </c>
      <c r="S19" s="75" t="str">
        <f t="array" ref="S19">IFERROR(IF(COUNTIFS(할일표[날짜],R$17,할일표[업무],"&lt;&gt;")&lt;2,"",INDEX(할일표[표시],SMALL(IF((할일표[날짜]=R$17)*(할일표[업무]&lt;&gt;""),ROW(할일표[표시])-ROW(INDEX(할일표[표시],1))+1),2))),"")</f>
        <v/>
      </c>
      <c r="T19" s="80" t="str">
        <f t="array" ref="T19">IFERROR(IF(COUNTIFS(할일표[날짜],R$17,할일표[업무],"&lt;&gt;")&lt;2,"",INDEX(할일표[업무],SMALL(IF((할일표[날짜]=R$17)*(할일표[업무]&lt;&gt;""),ROW(할일표[날짜])-피벗!$T$11),2))),"")</f>
        <v/>
      </c>
      <c r="U19" s="76" t="str">
        <f t="array" ref="U19">IFERROR(IF(COUNTIFS(할일표[날짜],R$17,할일표[업무],"&lt;&gt;")&lt;2,"",INDEX(할일표[진행률],SMALL(IF((할일표[날짜]=R$17)*(할일표[업무]&lt;&gt;""),ROW(할일표[날짜])-피벗!$T$11),2))),"")</f>
        <v/>
      </c>
      <c r="V19" s="77" t="str">
        <f t="array" ref="V19">IFERROR(IF(COUNTIFS(할일표[날짜],V$17,할일표[업무],"&lt;&gt;")&lt;2,"",INDEX(구분표[아이콘],MATCH(INDEX(할일표[구분],SMALL(IF((할일표[날짜]=V$17)*(할일표[업무]&lt;&gt;""),ROW(할일표[구분])-ROW(INDEX(할일표[구분],1))+1),2)),구분표[구분],0))),"")</f>
        <v/>
      </c>
      <c r="W19" s="75" t="str">
        <f t="array" ref="W19">IFERROR(IF(COUNTIFS(할일표[날짜],V$17,할일표[업무],"&lt;&gt;")&lt;2,"",INDEX(할일표[표시],SMALL(IF((할일표[날짜]=V$17)*(할일표[업무]&lt;&gt;""),ROW(할일표[표시])-ROW(INDEX(할일표[표시],1))+1),2))),"")</f>
        <v/>
      </c>
      <c r="X19" s="80" t="str">
        <f t="array" ref="X19">IFERROR(IF(COUNTIFS(할일표[날짜],V$17,할일표[업무],"&lt;&gt;")&lt;2,"",INDEX(할일표[업무],SMALL(IF((할일표[날짜]=V$17)*(할일표[업무]&lt;&gt;""),ROW(할일표[날짜])-피벗!$T$11),2))),"")</f>
        <v/>
      </c>
      <c r="Y19" s="76" t="str">
        <f t="array" ref="Y19">IFERROR(IF(COUNTIFS(할일표[날짜],V$17,할일표[업무],"&lt;&gt;")&lt;2,"",INDEX(할일표[진행률],SMALL(IF((할일표[날짜]=V$17)*(할일표[업무]&lt;&gt;""),ROW(할일표[날짜])-피벗!$T$11),2))),"")</f>
        <v/>
      </c>
      <c r="Z19" s="77" t="str">
        <f t="array" ref="Z19">IFERROR(IF(COUNTIFS(할일표[날짜],Z$17,할일표[업무],"&lt;&gt;")&lt;2,"",INDEX(구분표[아이콘],MATCH(INDEX(할일표[구분],SMALL(IF((할일표[날짜]=Z$17)*(할일표[업무]&lt;&gt;""),ROW(할일표[구분])-ROW(INDEX(할일표[구분],1))+1),2)),구분표[구분],0))),"")</f>
        <v/>
      </c>
      <c r="AA19" s="75" t="str">
        <f t="array" ref="AA19">IFERROR(IF(COUNTIFS(할일표[날짜],Z$17,할일표[업무],"&lt;&gt;")&lt;2,"",INDEX(할일표[표시],SMALL(IF((할일표[날짜]=Z$17)*(할일표[업무]&lt;&gt;""),ROW(할일표[표시])-ROW(INDEX(할일표[표시],1))+1),2))),"")</f>
        <v/>
      </c>
      <c r="AB19" s="80" t="str">
        <f t="array" ref="AB19">IFERROR(IF(COUNTIFS(할일표[날짜],Z$17,할일표[업무],"&lt;&gt;")&lt;2,"",INDEX(할일표[업무],SMALL(IF((할일표[날짜]=Z$17)*(할일표[업무]&lt;&gt;""),ROW(할일표[날짜])-피벗!$T$11),2))),"")</f>
        <v/>
      </c>
      <c r="AC19" s="76" t="str">
        <f t="array" ref="AC19">IFERROR(IF(COUNTIFS(할일표[날짜],Z$17,할일표[업무],"&lt;&gt;")&lt;2,"",INDEX(할일표[진행률],SMALL(IF((할일표[날짜]=Z$17)*(할일표[업무]&lt;&gt;""),ROW(할일표[날짜])-피벗!$T$11),2))),"")</f>
        <v/>
      </c>
    </row>
    <row r="20" spans="2:43" s="48" customFormat="1" ht="21" customHeight="1" x14ac:dyDescent="0.45">
      <c r="B20" s="77" t="str">
        <f t="array" ref="B20">IFERROR(IF(COUNTIFS(할일표[날짜],B$17,할일표[업무],"&lt;&gt;")&lt;3,"",INDEX(구분표[아이콘],MATCH(INDEX(할일표[구분],SMALL(IF((할일표[날짜]=B$17)*(할일표[업무]&lt;&gt;""),ROW(할일표[구분])-ROW(INDEX(할일표[구분],1))+1),3)),구분표[구분],0))),"")</f>
        <v/>
      </c>
      <c r="C20" s="75" t="str">
        <f t="array" ref="C20">IFERROR(IF(COUNTIFS(할일표[날짜],B$17,할일표[업무],"&lt;&gt;")&lt;3,"",INDEX(할일표[표시],SMALL(IF((할일표[날짜]=B$17)*(할일표[업무]&lt;&gt;""),ROW(할일표[표시])-ROW(INDEX(할일표[표시],1))+1),3))),"")</f>
        <v/>
      </c>
      <c r="D20" s="80" t="str">
        <f t="array" ref="D20">IFERROR(IF(COUNTIFS(할일표[날짜],B$17,할일표[업무],"&lt;&gt;")&lt;3,"",INDEX(할일표[업무],SMALL(IF((할일표[날짜]=B$17)*(할일표[업무]&lt;&gt;""),ROW(할일표[날짜])-피벗!$T$11),3))),"")</f>
        <v/>
      </c>
      <c r="E20" s="76" t="str">
        <f t="array" ref="E20">IFERROR(IF(COUNTIFS(할일표[날짜],B$17,할일표[업무],"&lt;&gt;")&lt;3,"",INDEX(할일표[진행률],SMALL(IF((할일표[날짜]=B$17)*(할일표[업무]&lt;&gt;""),ROW(할일표[날짜])-피벗!$T$11),3))),"")</f>
        <v/>
      </c>
      <c r="F20" s="77" t="str">
        <f t="array" ref="F20">IFERROR(IF(COUNTIFS(할일표[날짜],F$17,할일표[업무],"&lt;&gt;")&lt;3,"",INDEX(구분표[아이콘],MATCH(INDEX(할일표[구분],SMALL(IF((할일표[날짜]=F$17)*(할일표[업무]&lt;&gt;""),ROW(할일표[구분])-ROW(INDEX(할일표[구분],1))+1),3)),구분표[구분],0))),"")</f>
        <v/>
      </c>
      <c r="G20" s="75" t="str">
        <f t="array" ref="G20">IFERROR(IF(COUNTIFS(할일표[날짜],F$17,할일표[업무],"&lt;&gt;")&lt;3,"",INDEX(할일표[표시],SMALL(IF((할일표[날짜]=F$17)*(할일표[업무]&lt;&gt;""),ROW(할일표[표시])-ROW(INDEX(할일표[표시],1))+1),3))),"")</f>
        <v/>
      </c>
      <c r="H20" s="80" t="str">
        <f t="array" ref="H20">IFERROR(IF(COUNTIFS(할일표[날짜],F$17,할일표[업무],"&lt;&gt;")&lt;3,"",INDEX(할일표[업무],SMALL(IF((할일표[날짜]=F$17)*(할일표[업무]&lt;&gt;""),ROW(할일표[날짜])-피벗!$T$11),3))),"")</f>
        <v/>
      </c>
      <c r="I20" s="76" t="str">
        <f t="array" ref="I20">IFERROR(IF(COUNTIFS(할일표[날짜],F$17,할일표[업무],"&lt;&gt;")&lt;3,"",INDEX(할일표[진행률],SMALL(IF((할일표[날짜]=F$17)*(할일표[업무]&lt;&gt;""),ROW(할일표[날짜])-피벗!$T$11),3))),"")</f>
        <v/>
      </c>
      <c r="J20" s="77" t="str">
        <f t="array" ref="J20">IFERROR(IF(COUNTIFS(할일표[날짜],J$17,할일표[업무],"&lt;&gt;")&lt;3,"",INDEX(구분표[아이콘],MATCH(INDEX(할일표[구분],SMALL(IF((할일표[날짜]=J$17)*(할일표[업무]&lt;&gt;""),ROW(할일표[구분])-ROW(INDEX(할일표[구분],1))+1),3)),구분표[구분],0))),"")</f>
        <v/>
      </c>
      <c r="K20" s="75" t="str">
        <f t="array" ref="K20">IFERROR(IF(COUNTIFS(할일표[날짜],J$17,할일표[업무],"&lt;&gt;")&lt;3,"",INDEX(할일표[표시],SMALL(IF((할일표[날짜]=J$17)*(할일표[업무]&lt;&gt;""),ROW(할일표[표시])-ROW(INDEX(할일표[표시],1))+1),3))),"")</f>
        <v/>
      </c>
      <c r="L20" s="80" t="str">
        <f t="array" ref="L20">IFERROR(IF(COUNTIFS(할일표[날짜],J$17,할일표[업무],"&lt;&gt;")&lt;3,"",INDEX(할일표[업무],SMALL(IF((할일표[날짜]=J$17)*(할일표[업무]&lt;&gt;""),ROW(할일표[날짜])-피벗!$T$11),3))),"")</f>
        <v/>
      </c>
      <c r="M20" s="76" t="str">
        <f t="array" ref="M20">IFERROR(IF(COUNTIFS(할일표[날짜],J$17,할일표[업무],"&lt;&gt;")&lt;3,"",INDEX(할일표[진행률],SMALL(IF((할일표[날짜]=J$17)*(할일표[업무]&lt;&gt;""),ROW(할일표[날짜])-피벗!$T$11),3))),"")</f>
        <v/>
      </c>
      <c r="N20" s="77" t="str">
        <f t="array" ref="N20">IFERROR(IF(COUNTIFS(할일표[날짜],N$17,할일표[업무],"&lt;&gt;")&lt;3,"",INDEX(구분표[아이콘],MATCH(INDEX(할일표[구분],SMALL(IF((할일표[날짜]=N$17)*(할일표[업무]&lt;&gt;""),ROW(할일표[구분])-ROW(INDEX(할일표[구분],1))+1),3)),구분표[구분],0))),"")</f>
        <v/>
      </c>
      <c r="O20" s="75" t="str">
        <f t="array" ref="O20">IFERROR(IF(COUNTIFS(할일표[날짜],N$17,할일표[업무],"&lt;&gt;")&lt;3,"",INDEX(할일표[표시],SMALL(IF((할일표[날짜]=N$17)*(할일표[업무]&lt;&gt;""),ROW(할일표[표시])-ROW(INDEX(할일표[표시],1))+1),3))),"")</f>
        <v/>
      </c>
      <c r="P20" s="80" t="str">
        <f t="array" ref="P20">IFERROR(IF(COUNTIFS(할일표[날짜],N$17,할일표[업무],"&lt;&gt;")&lt;3,"",INDEX(할일표[업무],SMALL(IF((할일표[날짜]=N$17)*(할일표[업무]&lt;&gt;""),ROW(할일표[날짜])-피벗!$T$11),3))),"")</f>
        <v/>
      </c>
      <c r="Q20" s="76" t="str">
        <f t="array" ref="Q20">IFERROR(IF(COUNTIFS(할일표[날짜],N$17,할일표[업무],"&lt;&gt;")&lt;3,"",INDEX(할일표[진행률],SMALL(IF((할일표[날짜]=N$17)*(할일표[업무]&lt;&gt;""),ROW(할일표[날짜])-피벗!$T$11),3))),"")</f>
        <v/>
      </c>
      <c r="R20" s="77" t="str">
        <f t="array" ref="R20">IFERROR(IF(COUNTIFS(할일표[날짜],R$17,할일표[업무],"&lt;&gt;")&lt;3,"",INDEX(구분표[아이콘],MATCH(INDEX(할일표[구분],SMALL(IF((할일표[날짜]=R$17)*(할일표[업무]&lt;&gt;""),ROW(할일표[구분])-ROW(INDEX(할일표[구분],1))+1),3)),구분표[구분],0))),"")</f>
        <v/>
      </c>
      <c r="S20" s="75" t="str">
        <f t="array" ref="S20">IFERROR(IF(COUNTIFS(할일표[날짜],R$17,할일표[업무],"&lt;&gt;")&lt;3,"",INDEX(할일표[표시],SMALL(IF((할일표[날짜]=R$17)*(할일표[업무]&lt;&gt;""),ROW(할일표[표시])-ROW(INDEX(할일표[표시],1))+1),3))),"")</f>
        <v/>
      </c>
      <c r="T20" s="80" t="str">
        <f t="array" ref="T20">IFERROR(IF(COUNTIFS(할일표[날짜],R$17,할일표[업무],"&lt;&gt;")&lt;3,"",INDEX(할일표[업무],SMALL(IF((할일표[날짜]=R$17)*(할일표[업무]&lt;&gt;""),ROW(할일표[날짜])-피벗!$T$11),3))),"")</f>
        <v/>
      </c>
      <c r="U20" s="76" t="str">
        <f t="array" ref="U20">IFERROR(IF(COUNTIFS(할일표[날짜],R$17,할일표[업무],"&lt;&gt;")&lt;3,"",INDEX(할일표[진행률],SMALL(IF((할일표[날짜]=R$17)*(할일표[업무]&lt;&gt;""),ROW(할일표[날짜])-피벗!$T$11),3))),"")</f>
        <v/>
      </c>
      <c r="V20" s="77" t="str">
        <f t="array" ref="V20">IFERROR(IF(COUNTIFS(할일표[날짜],V$17,할일표[업무],"&lt;&gt;")&lt;3,"",INDEX(구분표[아이콘],MATCH(INDEX(할일표[구분],SMALL(IF((할일표[날짜]=V$17)*(할일표[업무]&lt;&gt;""),ROW(할일표[구분])-ROW(INDEX(할일표[구분],1))+1),3)),구분표[구분],0))),"")</f>
        <v/>
      </c>
      <c r="W20" s="75" t="str">
        <f t="array" ref="W20">IFERROR(IF(COUNTIFS(할일표[날짜],V$17,할일표[업무],"&lt;&gt;")&lt;3,"",INDEX(할일표[표시],SMALL(IF((할일표[날짜]=V$17)*(할일표[업무]&lt;&gt;""),ROW(할일표[표시])-ROW(INDEX(할일표[표시],1))+1),3))),"")</f>
        <v/>
      </c>
      <c r="X20" s="80" t="str">
        <f t="array" ref="X20">IFERROR(IF(COUNTIFS(할일표[날짜],V$17,할일표[업무],"&lt;&gt;")&lt;3,"",INDEX(할일표[업무],SMALL(IF((할일표[날짜]=V$17)*(할일표[업무]&lt;&gt;""),ROW(할일표[날짜])-피벗!$T$11),3))),"")</f>
        <v/>
      </c>
      <c r="Y20" s="76" t="str">
        <f t="array" ref="Y20">IFERROR(IF(COUNTIFS(할일표[날짜],V$17,할일표[업무],"&lt;&gt;")&lt;3,"",INDEX(할일표[진행률],SMALL(IF((할일표[날짜]=V$17)*(할일표[업무]&lt;&gt;""),ROW(할일표[날짜])-피벗!$T$11),3))),"")</f>
        <v/>
      </c>
      <c r="Z20" s="77" t="str">
        <f t="array" ref="Z20">IFERROR(IF(COUNTIFS(할일표[날짜],Z$17,할일표[업무],"&lt;&gt;")&lt;3,"",INDEX(구분표[아이콘],MATCH(INDEX(할일표[구분],SMALL(IF((할일표[날짜]=Z$17)*(할일표[업무]&lt;&gt;""),ROW(할일표[구분])-ROW(INDEX(할일표[구분],1))+1),3)),구분표[구분],0))),"")</f>
        <v/>
      </c>
      <c r="AA20" s="75" t="str">
        <f t="array" ref="AA20">IFERROR(IF(COUNTIFS(할일표[날짜],Z$17,할일표[업무],"&lt;&gt;")&lt;3,"",INDEX(할일표[표시],SMALL(IF((할일표[날짜]=Z$17)*(할일표[업무]&lt;&gt;""),ROW(할일표[표시])-ROW(INDEX(할일표[표시],1))+1),3))),"")</f>
        <v/>
      </c>
      <c r="AB20" s="80" t="str">
        <f t="array" ref="AB20">IFERROR(IF(COUNTIFS(할일표[날짜],Z$17,할일표[업무],"&lt;&gt;")&lt;3,"",INDEX(할일표[업무],SMALL(IF((할일표[날짜]=Z$17)*(할일표[업무]&lt;&gt;""),ROW(할일표[날짜])-피벗!$T$11),3))),"")</f>
        <v/>
      </c>
      <c r="AC20" s="76" t="str">
        <f t="array" ref="AC20">IFERROR(IF(COUNTIFS(할일표[날짜],Z$17,할일표[업무],"&lt;&gt;")&lt;3,"",INDEX(할일표[진행률],SMALL(IF((할일표[날짜]=Z$17)*(할일표[업무]&lt;&gt;""),ROW(할일표[날짜])-피벗!$T$11),3))),"")</f>
        <v/>
      </c>
    </row>
    <row r="21" spans="2:43" s="48" customFormat="1" ht="21" customHeight="1" x14ac:dyDescent="0.45">
      <c r="B21" s="77" t="str">
        <f t="array" ref="B21">IFERROR(IF(COUNTIFS(할일표[날짜],B$17,할일표[업무],"&lt;&gt;")&lt;4,"",INDEX(구분표[아이콘],MATCH(INDEX(할일표[구분],SMALL(IF((할일표[날짜]=B$17)*(할일표[업무]&lt;&gt;""),ROW(할일표[구분])-ROW(INDEX(할일표[구분],1))+1),4)),구분표[구분],0))),"")</f>
        <v/>
      </c>
      <c r="C21" s="75" t="str">
        <f t="array" ref="C21">IFERROR(IF(COUNTIFS(할일표[날짜],B$17,할일표[업무],"&lt;&gt;")&lt;4,"",INDEX(할일표[표시],SMALL(IF((할일표[날짜]=B$17)*(할일표[업무]&lt;&gt;""),ROW(할일표[표시])-ROW(INDEX(할일표[표시],1))+1),4))),"")</f>
        <v/>
      </c>
      <c r="D21" s="80" t="str">
        <f t="array" ref="D21">IFERROR(IF(COUNTIFS(할일표[날짜],B$17,할일표[업무],"&lt;&gt;")&lt;4,"",INDEX(할일표[업무],SMALL(IF((할일표[날짜]=B$17)*(할일표[업무]&lt;&gt;""),ROW(할일표[날짜])-피벗!$T$11),4))),"")</f>
        <v/>
      </c>
      <c r="E21" s="76" t="str">
        <f t="array" ref="E21">IFERROR(IF(COUNTIFS(할일표[날짜],B$17,할일표[업무],"&lt;&gt;")&lt;4,"",INDEX(할일표[진행률],SMALL(IF((할일표[날짜]=B$17)*(할일표[업무]&lt;&gt;""),ROW(할일표[날짜])-피벗!$T$11),4))),"")</f>
        <v/>
      </c>
      <c r="F21" s="77" t="str">
        <f t="array" ref="F21">IFERROR(IF(COUNTIFS(할일표[날짜],F$17,할일표[업무],"&lt;&gt;")&lt;4,"",INDEX(구분표[아이콘],MATCH(INDEX(할일표[구분],SMALL(IF((할일표[날짜]=F$17)*(할일표[업무]&lt;&gt;""),ROW(할일표[구분])-ROW(INDEX(할일표[구분],1))+1),4)),구분표[구분],0))),"")</f>
        <v/>
      </c>
      <c r="G21" s="75" t="str">
        <f t="array" ref="G21">IFERROR(IF(COUNTIFS(할일표[날짜],F$17,할일표[업무],"&lt;&gt;")&lt;4,"",INDEX(할일표[표시],SMALL(IF((할일표[날짜]=F$17)*(할일표[업무]&lt;&gt;""),ROW(할일표[표시])-ROW(INDEX(할일표[표시],1))+1),4))),"")</f>
        <v/>
      </c>
      <c r="H21" s="80" t="str">
        <f t="array" ref="H21">IFERROR(IF(COUNTIFS(할일표[날짜],F$17,할일표[업무],"&lt;&gt;")&lt;4,"",INDEX(할일표[업무],SMALL(IF((할일표[날짜]=F$17)*(할일표[업무]&lt;&gt;""),ROW(할일표[날짜])-피벗!$T$11),4))),"")</f>
        <v/>
      </c>
      <c r="I21" s="76" t="str">
        <f t="array" ref="I21">IFERROR(IF(COUNTIFS(할일표[날짜],F$17,할일표[업무],"&lt;&gt;")&lt;4,"",INDEX(할일표[진행률],SMALL(IF((할일표[날짜]=F$17)*(할일표[업무]&lt;&gt;""),ROW(할일표[날짜])-피벗!$T$11),4))),"")</f>
        <v/>
      </c>
      <c r="J21" s="77" t="str">
        <f t="array" ref="J21">IFERROR(IF(COUNTIFS(할일표[날짜],J$17,할일표[업무],"&lt;&gt;")&lt;4,"",INDEX(구분표[아이콘],MATCH(INDEX(할일표[구분],SMALL(IF((할일표[날짜]=J$17)*(할일표[업무]&lt;&gt;""),ROW(할일표[구분])-ROW(INDEX(할일표[구분],1))+1),4)),구분표[구분],0))),"")</f>
        <v/>
      </c>
      <c r="K21" s="75" t="str">
        <f t="array" ref="K21">IFERROR(IF(COUNTIFS(할일표[날짜],J$17,할일표[업무],"&lt;&gt;")&lt;4,"",INDEX(할일표[표시],SMALL(IF((할일표[날짜]=J$17)*(할일표[업무]&lt;&gt;""),ROW(할일표[표시])-ROW(INDEX(할일표[표시],1))+1),4))),"")</f>
        <v/>
      </c>
      <c r="L21" s="80" t="str">
        <f t="array" ref="L21">IFERROR(IF(COUNTIFS(할일표[날짜],J$17,할일표[업무],"&lt;&gt;")&lt;4,"",INDEX(할일표[업무],SMALL(IF((할일표[날짜]=J$17)*(할일표[업무]&lt;&gt;""),ROW(할일표[날짜])-피벗!$T$11),4))),"")</f>
        <v/>
      </c>
      <c r="M21" s="76" t="str">
        <f t="array" ref="M21">IFERROR(IF(COUNTIFS(할일표[날짜],J$17,할일표[업무],"&lt;&gt;")&lt;4,"",INDEX(할일표[진행률],SMALL(IF((할일표[날짜]=J$17)*(할일표[업무]&lt;&gt;""),ROW(할일표[날짜])-피벗!$T$11),4))),"")</f>
        <v/>
      </c>
      <c r="N21" s="77" t="str">
        <f t="array" ref="N21">IFERROR(IF(COUNTIFS(할일표[날짜],N$17,할일표[업무],"&lt;&gt;")&lt;4,"",INDEX(구분표[아이콘],MATCH(INDEX(할일표[구분],SMALL(IF((할일표[날짜]=N$17)*(할일표[업무]&lt;&gt;""),ROW(할일표[구분])-ROW(INDEX(할일표[구분],1))+1),4)),구분표[구분],0))),"")</f>
        <v/>
      </c>
      <c r="O21" s="75" t="str">
        <f t="array" ref="O21">IFERROR(IF(COUNTIFS(할일표[날짜],N$17,할일표[업무],"&lt;&gt;")&lt;4,"",INDEX(할일표[표시],SMALL(IF((할일표[날짜]=N$17)*(할일표[업무]&lt;&gt;""),ROW(할일표[표시])-ROW(INDEX(할일표[표시],1))+1),4))),"")</f>
        <v/>
      </c>
      <c r="P21" s="80" t="str">
        <f t="array" ref="P21">IFERROR(IF(COUNTIFS(할일표[날짜],N$17,할일표[업무],"&lt;&gt;")&lt;4,"",INDEX(할일표[업무],SMALL(IF((할일표[날짜]=N$17)*(할일표[업무]&lt;&gt;""),ROW(할일표[날짜])-피벗!$T$11),4))),"")</f>
        <v/>
      </c>
      <c r="Q21" s="76" t="str">
        <f t="array" ref="Q21">IFERROR(IF(COUNTIFS(할일표[날짜],N$17,할일표[업무],"&lt;&gt;")&lt;4,"",INDEX(할일표[진행률],SMALL(IF((할일표[날짜]=N$17)*(할일표[업무]&lt;&gt;""),ROW(할일표[날짜])-피벗!$T$11),4))),"")</f>
        <v/>
      </c>
      <c r="R21" s="77" t="str">
        <f t="array" ref="R21">IFERROR(IF(COUNTIFS(할일표[날짜],R$17,할일표[업무],"&lt;&gt;")&lt;4,"",INDEX(구분표[아이콘],MATCH(INDEX(할일표[구분],SMALL(IF((할일표[날짜]=R$17)*(할일표[업무]&lt;&gt;""),ROW(할일표[구분])-ROW(INDEX(할일표[구분],1))+1),4)),구분표[구분],0))),"")</f>
        <v/>
      </c>
      <c r="S21" s="75" t="str">
        <f t="array" ref="S21">IFERROR(IF(COUNTIFS(할일표[날짜],R$17,할일표[업무],"&lt;&gt;")&lt;4,"",INDEX(할일표[표시],SMALL(IF((할일표[날짜]=R$17)*(할일표[업무]&lt;&gt;""),ROW(할일표[표시])-ROW(INDEX(할일표[표시],1))+1),4))),"")</f>
        <v/>
      </c>
      <c r="T21" s="80" t="str">
        <f t="array" ref="T21">IFERROR(IF(COUNTIFS(할일표[날짜],R$17,할일표[업무],"&lt;&gt;")&lt;4,"",INDEX(할일표[업무],SMALL(IF((할일표[날짜]=R$17)*(할일표[업무]&lt;&gt;""),ROW(할일표[날짜])-피벗!$T$11),4))),"")</f>
        <v/>
      </c>
      <c r="U21" s="76" t="str">
        <f t="array" ref="U21">IFERROR(IF(COUNTIFS(할일표[날짜],R$17,할일표[업무],"&lt;&gt;")&lt;4,"",INDEX(할일표[진행률],SMALL(IF((할일표[날짜]=R$17)*(할일표[업무]&lt;&gt;""),ROW(할일표[날짜])-피벗!$T$11),4))),"")</f>
        <v/>
      </c>
      <c r="V21" s="77" t="str">
        <f t="array" ref="V21">IFERROR(IF(COUNTIFS(할일표[날짜],V$17,할일표[업무],"&lt;&gt;")&lt;4,"",INDEX(구분표[아이콘],MATCH(INDEX(할일표[구분],SMALL(IF((할일표[날짜]=V$17)*(할일표[업무]&lt;&gt;""),ROW(할일표[구분])-ROW(INDEX(할일표[구분],1))+1),4)),구분표[구분],0))),"")</f>
        <v/>
      </c>
      <c r="W21" s="75" t="str">
        <f t="array" ref="W21">IFERROR(IF(COUNTIFS(할일표[날짜],V$17,할일표[업무],"&lt;&gt;")&lt;4,"",INDEX(할일표[표시],SMALL(IF((할일표[날짜]=V$17)*(할일표[업무]&lt;&gt;""),ROW(할일표[표시])-ROW(INDEX(할일표[표시],1))+1),4))),"")</f>
        <v/>
      </c>
      <c r="X21" s="80" t="str">
        <f t="array" ref="X21">IFERROR(IF(COUNTIFS(할일표[날짜],V$17,할일표[업무],"&lt;&gt;")&lt;4,"",INDEX(할일표[업무],SMALL(IF((할일표[날짜]=V$17)*(할일표[업무]&lt;&gt;""),ROW(할일표[날짜])-피벗!$T$11),4))),"")</f>
        <v/>
      </c>
      <c r="Y21" s="76" t="str">
        <f t="array" ref="Y21">IFERROR(IF(COUNTIFS(할일표[날짜],V$17,할일표[업무],"&lt;&gt;")&lt;4,"",INDEX(할일표[진행률],SMALL(IF((할일표[날짜]=V$17)*(할일표[업무]&lt;&gt;""),ROW(할일표[날짜])-피벗!$T$11),4))),"")</f>
        <v/>
      </c>
      <c r="Z21" s="77" t="str">
        <f t="array" ref="Z21">IFERROR(IF(COUNTIFS(할일표[날짜],Z$17,할일표[업무],"&lt;&gt;")&lt;4,"",INDEX(구분표[아이콘],MATCH(INDEX(할일표[구분],SMALL(IF((할일표[날짜]=Z$17)*(할일표[업무]&lt;&gt;""),ROW(할일표[구분])-ROW(INDEX(할일표[구분],1))+1),4)),구분표[구분],0))),"")</f>
        <v/>
      </c>
      <c r="AA21" s="75" t="str">
        <f t="array" ref="AA21">IFERROR(IF(COUNTIFS(할일표[날짜],Z$17,할일표[업무],"&lt;&gt;")&lt;4,"",INDEX(할일표[표시],SMALL(IF((할일표[날짜]=Z$17)*(할일표[업무]&lt;&gt;""),ROW(할일표[표시])-ROW(INDEX(할일표[표시],1))+1),4))),"")</f>
        <v/>
      </c>
      <c r="AB21" s="80" t="str">
        <f t="array" ref="AB21">IFERROR(IF(COUNTIFS(할일표[날짜],Z$17,할일표[업무],"&lt;&gt;")&lt;4,"",INDEX(할일표[업무],SMALL(IF((할일표[날짜]=Z$17)*(할일표[업무]&lt;&gt;""),ROW(할일표[날짜])-피벗!$T$11),4))),"")</f>
        <v/>
      </c>
      <c r="AC21" s="76" t="str">
        <f t="array" ref="AC21">IFERROR(IF(COUNTIFS(할일표[날짜],Z$17,할일표[업무],"&lt;&gt;")&lt;4,"",INDEX(할일표[진행률],SMALL(IF((할일표[날짜]=Z$17)*(할일표[업무]&lt;&gt;""),ROW(할일표[날짜])-피벗!$T$11),4))),"")</f>
        <v/>
      </c>
    </row>
    <row r="22" spans="2:43" s="48" customFormat="1" ht="21" customHeight="1" x14ac:dyDescent="0.45">
      <c r="B22" s="77" t="str">
        <f t="array" ref="B22">IFERROR(IF(COUNTIFS(할일표[날짜],B$17,할일표[업무],"&lt;&gt;")&lt;5,"",INDEX(구분표[아이콘],MATCH(INDEX(할일표[구분],SMALL(IF((할일표[날짜]=B$17)*(할일표[업무]&lt;&gt;""),ROW(할일표[구분])-ROW(INDEX(할일표[구분],1))+1),5)),구분표[구분],0))),"")</f>
        <v/>
      </c>
      <c r="C22" s="75" t="str">
        <f t="array" ref="C22">IFERROR(IF(COUNTIFS(할일표[날짜],B$17,할일표[업무],"&lt;&gt;")&lt;5,"",INDEX(할일표[표시],SMALL(IF((할일표[날짜]=B$17)*(할일표[업무]&lt;&gt;""),ROW(할일표[표시])-ROW(INDEX(할일표[표시],1))+1),5))),"")</f>
        <v/>
      </c>
      <c r="D22" s="80" t="str">
        <f t="array" ref="D22">IFERROR(IF(COUNTIFS(할일표[날짜],B$17,할일표[업무],"&lt;&gt;")&lt;5,"",INDEX(할일표[업무],SMALL(IF((할일표[날짜]=B$17)*(할일표[업무]&lt;&gt;""),ROW(할일표[날짜])-피벗!$T$11),5))),"")</f>
        <v/>
      </c>
      <c r="E22" s="76" t="str">
        <f t="array" ref="E22">IFERROR(IF(COUNTIFS(할일표[날짜],B$17,할일표[업무],"&lt;&gt;")&lt;5,"",INDEX(할일표[진행률],SMALL(IF((할일표[날짜]=B$17)*(할일표[업무]&lt;&gt;""),ROW(할일표[날짜])-피벗!$T$11),5))),"")</f>
        <v/>
      </c>
      <c r="F22" s="77" t="str">
        <f t="array" ref="F22">IFERROR(IF(COUNTIFS(할일표[날짜],F$17,할일표[업무],"&lt;&gt;")&lt;5,"",INDEX(구분표[아이콘],MATCH(INDEX(할일표[구분],SMALL(IF((할일표[날짜]=F$17)*(할일표[업무]&lt;&gt;""),ROW(할일표[구분])-ROW(INDEX(할일표[구분],1))+1),5)),구분표[구분],0))),"")</f>
        <v/>
      </c>
      <c r="G22" s="75" t="str">
        <f t="array" ref="G22">IFERROR(IF(COUNTIFS(할일표[날짜],F$17,할일표[업무],"&lt;&gt;")&lt;5,"",INDEX(할일표[표시],SMALL(IF((할일표[날짜]=F$17)*(할일표[업무]&lt;&gt;""),ROW(할일표[표시])-ROW(INDEX(할일표[표시],1))+1),5))),"")</f>
        <v/>
      </c>
      <c r="H22" s="80" t="str">
        <f t="array" ref="H22">IFERROR(IF(COUNTIFS(할일표[날짜],F$17,할일표[업무],"&lt;&gt;")&lt;5,"",INDEX(할일표[업무],SMALL(IF((할일표[날짜]=F$17)*(할일표[업무]&lt;&gt;""),ROW(할일표[날짜])-피벗!$T$11),5))),"")</f>
        <v/>
      </c>
      <c r="I22" s="76" t="str">
        <f t="array" ref="I22">IFERROR(IF(COUNTIFS(할일표[날짜],F$17,할일표[업무],"&lt;&gt;")&lt;5,"",INDEX(할일표[진행률],SMALL(IF((할일표[날짜]=F$17)*(할일표[업무]&lt;&gt;""),ROW(할일표[날짜])-피벗!$T$11),5))),"")</f>
        <v/>
      </c>
      <c r="J22" s="77" t="str">
        <f t="array" ref="J22">IFERROR(IF(COUNTIFS(할일표[날짜],J$17,할일표[업무],"&lt;&gt;")&lt;5,"",INDEX(구분표[아이콘],MATCH(INDEX(할일표[구분],SMALL(IF((할일표[날짜]=J$17)*(할일표[업무]&lt;&gt;""),ROW(할일표[구분])-ROW(INDEX(할일표[구분],1))+1),5)),구분표[구분],0))),"")</f>
        <v/>
      </c>
      <c r="K22" s="75" t="str">
        <f t="array" ref="K22">IFERROR(IF(COUNTIFS(할일표[날짜],J$17,할일표[업무],"&lt;&gt;")&lt;5,"",INDEX(할일표[표시],SMALL(IF((할일표[날짜]=J$17)*(할일표[업무]&lt;&gt;""),ROW(할일표[표시])-ROW(INDEX(할일표[표시],1))+1),5))),"")</f>
        <v/>
      </c>
      <c r="L22" s="80" t="str">
        <f t="array" ref="L22">IFERROR(IF(COUNTIFS(할일표[날짜],J$17,할일표[업무],"&lt;&gt;")&lt;5,"",INDEX(할일표[업무],SMALL(IF((할일표[날짜]=J$17)*(할일표[업무]&lt;&gt;""),ROW(할일표[날짜])-피벗!$T$11),5))),"")</f>
        <v/>
      </c>
      <c r="M22" s="76" t="str">
        <f t="array" ref="M22">IFERROR(IF(COUNTIFS(할일표[날짜],J$17,할일표[업무],"&lt;&gt;")&lt;5,"",INDEX(할일표[진행률],SMALL(IF((할일표[날짜]=J$17)*(할일표[업무]&lt;&gt;""),ROW(할일표[날짜])-피벗!$T$11),5))),"")</f>
        <v/>
      </c>
      <c r="N22" s="77" t="str">
        <f t="array" ref="N22">IFERROR(IF(COUNTIFS(할일표[날짜],N$17,할일표[업무],"&lt;&gt;")&lt;5,"",INDEX(구분표[아이콘],MATCH(INDEX(할일표[구분],SMALL(IF((할일표[날짜]=N$17)*(할일표[업무]&lt;&gt;""),ROW(할일표[구분])-ROW(INDEX(할일표[구분],1))+1),5)),구분표[구분],0))),"")</f>
        <v/>
      </c>
      <c r="O22" s="75" t="str">
        <f t="array" ref="O22">IFERROR(IF(COUNTIFS(할일표[날짜],N$17,할일표[업무],"&lt;&gt;")&lt;5,"",INDEX(할일표[표시],SMALL(IF((할일표[날짜]=N$17)*(할일표[업무]&lt;&gt;""),ROW(할일표[표시])-ROW(INDEX(할일표[표시],1))+1),5))),"")</f>
        <v/>
      </c>
      <c r="P22" s="80" t="str">
        <f t="array" ref="P22">IFERROR(IF(COUNTIFS(할일표[날짜],N$17,할일표[업무],"&lt;&gt;")&lt;5,"",INDEX(할일표[업무],SMALL(IF((할일표[날짜]=N$17)*(할일표[업무]&lt;&gt;""),ROW(할일표[날짜])-피벗!$T$11),5))),"")</f>
        <v/>
      </c>
      <c r="Q22" s="76" t="str">
        <f t="array" ref="Q22">IFERROR(IF(COUNTIFS(할일표[날짜],N$17,할일표[업무],"&lt;&gt;")&lt;5,"",INDEX(할일표[진행률],SMALL(IF((할일표[날짜]=N$17)*(할일표[업무]&lt;&gt;""),ROW(할일표[날짜])-피벗!$T$11),5))),"")</f>
        <v/>
      </c>
      <c r="R22" s="77" t="str">
        <f t="array" ref="R22">IFERROR(IF(COUNTIFS(할일표[날짜],R$17,할일표[업무],"&lt;&gt;")&lt;5,"",INDEX(구분표[아이콘],MATCH(INDEX(할일표[구분],SMALL(IF((할일표[날짜]=R$17)*(할일표[업무]&lt;&gt;""),ROW(할일표[구분])-ROW(INDEX(할일표[구분],1))+1),5)),구분표[구분],0))),"")</f>
        <v/>
      </c>
      <c r="S22" s="75" t="str">
        <f t="array" ref="S22">IFERROR(IF(COUNTIFS(할일표[날짜],R$17,할일표[업무],"&lt;&gt;")&lt;5,"",INDEX(할일표[표시],SMALL(IF((할일표[날짜]=R$17)*(할일표[업무]&lt;&gt;""),ROW(할일표[표시])-ROW(INDEX(할일표[표시],1))+1),5))),"")</f>
        <v/>
      </c>
      <c r="T22" s="80" t="str">
        <f t="array" ref="T22">IFERROR(IF(COUNTIFS(할일표[날짜],R$17,할일표[업무],"&lt;&gt;")&lt;5,"",INDEX(할일표[업무],SMALL(IF((할일표[날짜]=R$17)*(할일표[업무]&lt;&gt;""),ROW(할일표[날짜])-피벗!$T$11),5))),"")</f>
        <v/>
      </c>
      <c r="U22" s="76" t="str">
        <f t="array" ref="U22">IFERROR(IF(COUNTIFS(할일표[날짜],R$17,할일표[업무],"&lt;&gt;")&lt;5,"",INDEX(할일표[진행률],SMALL(IF((할일표[날짜]=R$17)*(할일표[업무]&lt;&gt;""),ROW(할일표[날짜])-피벗!$T$11),5))),"")</f>
        <v/>
      </c>
      <c r="V22" s="77" t="str">
        <f t="array" ref="V22">IFERROR(IF(COUNTIFS(할일표[날짜],V$17,할일표[업무],"&lt;&gt;")&lt;5,"",INDEX(구분표[아이콘],MATCH(INDEX(할일표[구분],SMALL(IF((할일표[날짜]=V$17)*(할일표[업무]&lt;&gt;""),ROW(할일표[구분])-ROW(INDEX(할일표[구분],1))+1),5)),구분표[구분],0))),"")</f>
        <v/>
      </c>
      <c r="W22" s="75" t="str">
        <f t="array" ref="W22">IFERROR(IF(COUNTIFS(할일표[날짜],V$17,할일표[업무],"&lt;&gt;")&lt;5,"",INDEX(할일표[표시],SMALL(IF((할일표[날짜]=V$17)*(할일표[업무]&lt;&gt;""),ROW(할일표[표시])-ROW(INDEX(할일표[표시],1))+1),5))),"")</f>
        <v/>
      </c>
      <c r="X22" s="80" t="str">
        <f t="array" ref="X22">IFERROR(IF(COUNTIFS(할일표[날짜],V$17,할일표[업무],"&lt;&gt;")&lt;5,"",INDEX(할일표[업무],SMALL(IF((할일표[날짜]=V$17)*(할일표[업무]&lt;&gt;""),ROW(할일표[날짜])-피벗!$T$11),5))),"")</f>
        <v/>
      </c>
      <c r="Y22" s="76" t="str">
        <f t="array" ref="Y22">IFERROR(IF(COUNTIFS(할일표[날짜],V$17,할일표[업무],"&lt;&gt;")&lt;5,"",INDEX(할일표[진행률],SMALL(IF((할일표[날짜]=V$17)*(할일표[업무]&lt;&gt;""),ROW(할일표[날짜])-피벗!$T$11),5))),"")</f>
        <v/>
      </c>
      <c r="Z22" s="77" t="str">
        <f t="array" ref="Z22">IFERROR(IF(COUNTIFS(할일표[날짜],Z$17,할일표[업무],"&lt;&gt;")&lt;5,"",INDEX(구분표[아이콘],MATCH(INDEX(할일표[구분],SMALL(IF((할일표[날짜]=Z$17)*(할일표[업무]&lt;&gt;""),ROW(할일표[구분])-ROW(INDEX(할일표[구분],1))+1),5)),구분표[구분],0))),"")</f>
        <v/>
      </c>
      <c r="AA22" s="75" t="str">
        <f t="array" ref="AA22">IFERROR(IF(COUNTIFS(할일표[날짜],Z$17,할일표[업무],"&lt;&gt;")&lt;5,"",INDEX(할일표[표시],SMALL(IF((할일표[날짜]=Z$17)*(할일표[업무]&lt;&gt;""),ROW(할일표[표시])-ROW(INDEX(할일표[표시],1))+1),5))),"")</f>
        <v/>
      </c>
      <c r="AB22" s="80" t="str">
        <f t="array" ref="AB22">IFERROR(IF(COUNTIFS(할일표[날짜],Z$17,할일표[업무],"&lt;&gt;")&lt;5,"",INDEX(할일표[업무],SMALL(IF((할일표[날짜]=Z$17)*(할일표[업무]&lt;&gt;""),ROW(할일표[날짜])-피벗!$T$11),5))),"")</f>
        <v/>
      </c>
      <c r="AC22" s="76" t="str">
        <f t="array" ref="AC22">IFERROR(IF(COUNTIFS(할일표[날짜],Z$17,할일표[업무],"&lt;&gt;")&lt;5,"",INDEX(할일표[진행률],SMALL(IF((할일표[날짜]=Z$17)*(할일표[업무]&lt;&gt;""),ROW(할일표[날짜])-피벗!$T$11),5))),"")</f>
        <v/>
      </c>
    </row>
    <row r="23" spans="2:43" s="48" customFormat="1" ht="21" customHeight="1" x14ac:dyDescent="0.45">
      <c r="B23" s="77" t="str">
        <f t="array" ref="B23">IFERROR(IF(COUNTIFS(할일표[날짜],B$17,할일표[업무],"&lt;&gt;")&lt;6,"",INDEX(구분표[아이콘],MATCH(INDEX(할일표[구분],SMALL(IF((할일표[날짜]=B$17)*(할일표[업무]&lt;&gt;""),ROW(할일표[구분])-ROW(INDEX(할일표[구분],1))+1),6)),구분표[구분],0))),"")</f>
        <v/>
      </c>
      <c r="C23" s="75" t="str">
        <f t="array" ref="C23">IFERROR(IF(COUNTIFS(할일표[날짜],B$17,할일표[업무],"&lt;&gt;")&lt;6,"",INDEX(할일표[표시],SMALL(IF((할일표[날짜]=B$17)*(할일표[업무]&lt;&gt;""),ROW(할일표[표시])-ROW(INDEX(할일표[표시],1))+1),6))),"")</f>
        <v/>
      </c>
      <c r="D23" s="80" t="str">
        <f t="array" ref="D23">IFERROR(IF(COUNTIFS(할일표[날짜],B$17,할일표[업무],"&lt;&gt;")&lt;6,"",INDEX(할일표[업무],SMALL(IF((할일표[날짜]=B$17)*(할일표[업무]&lt;&gt;""),ROW(할일표[날짜])-피벗!$T$11),6))),"")</f>
        <v/>
      </c>
      <c r="E23" s="76" t="str">
        <f t="array" ref="E23">IFERROR(IF(COUNTIFS(할일표[날짜],B$17,할일표[업무],"&lt;&gt;")&lt;6,"",INDEX(할일표[진행률],SMALL(IF((할일표[날짜]=B$17)*(할일표[업무]&lt;&gt;""),ROW(할일표[날짜])-피벗!$T$11),6))),"")</f>
        <v/>
      </c>
      <c r="F23" s="77" t="str">
        <f t="array" ref="F23">IFERROR(IF(COUNTIFS(할일표[날짜],F$17,할일표[업무],"&lt;&gt;")&lt;6,"",INDEX(구분표[아이콘],MATCH(INDEX(할일표[구분],SMALL(IF((할일표[날짜]=F$17)*(할일표[업무]&lt;&gt;""),ROW(할일표[구분])-ROW(INDEX(할일표[구분],1))+1),6)),구분표[구분],0))),"")</f>
        <v/>
      </c>
      <c r="G23" s="75" t="str">
        <f t="array" ref="G23">IFERROR(IF(COUNTIFS(할일표[날짜],F$17,할일표[업무],"&lt;&gt;")&lt;6,"",INDEX(할일표[표시],SMALL(IF((할일표[날짜]=F$17)*(할일표[업무]&lt;&gt;""),ROW(할일표[표시])-ROW(INDEX(할일표[표시],1))+1),6))),"")</f>
        <v/>
      </c>
      <c r="H23" s="80" t="str">
        <f t="array" ref="H23">IFERROR(IF(COUNTIFS(할일표[날짜],F$17,할일표[업무],"&lt;&gt;")&lt;6,"",INDEX(할일표[업무],SMALL(IF((할일표[날짜]=F$17)*(할일표[업무]&lt;&gt;""),ROW(할일표[날짜])-피벗!$T$11),6))),"")</f>
        <v/>
      </c>
      <c r="I23" s="76" t="str">
        <f t="array" ref="I23">IFERROR(IF(COUNTIFS(할일표[날짜],F$17,할일표[업무],"&lt;&gt;")&lt;6,"",INDEX(할일표[진행률],SMALL(IF((할일표[날짜]=F$17)*(할일표[업무]&lt;&gt;""),ROW(할일표[날짜])-피벗!$T$11),6))),"")</f>
        <v/>
      </c>
      <c r="J23" s="77" t="str">
        <f t="array" ref="J23">IFERROR(IF(COUNTIFS(할일표[날짜],J$17,할일표[업무],"&lt;&gt;")&lt;6,"",INDEX(구분표[아이콘],MATCH(INDEX(할일표[구분],SMALL(IF((할일표[날짜]=J$17)*(할일표[업무]&lt;&gt;""),ROW(할일표[구분])-ROW(INDEX(할일표[구분],1))+1),6)),구분표[구분],0))),"")</f>
        <v/>
      </c>
      <c r="K23" s="75" t="str">
        <f t="array" ref="K23">IFERROR(IF(COUNTIFS(할일표[날짜],J$17,할일표[업무],"&lt;&gt;")&lt;6,"",INDEX(할일표[표시],SMALL(IF((할일표[날짜]=J$17)*(할일표[업무]&lt;&gt;""),ROW(할일표[표시])-ROW(INDEX(할일표[표시],1))+1),6))),"")</f>
        <v/>
      </c>
      <c r="L23" s="80" t="str">
        <f t="array" ref="L23">IFERROR(IF(COUNTIFS(할일표[날짜],J$17,할일표[업무],"&lt;&gt;")&lt;6,"",INDEX(할일표[업무],SMALL(IF((할일표[날짜]=J$17)*(할일표[업무]&lt;&gt;""),ROW(할일표[날짜])-피벗!$T$11),6))),"")</f>
        <v/>
      </c>
      <c r="M23" s="76" t="str">
        <f t="array" ref="M23">IFERROR(IF(COUNTIFS(할일표[날짜],J$17,할일표[업무],"&lt;&gt;")&lt;6,"",INDEX(할일표[진행률],SMALL(IF((할일표[날짜]=J$17)*(할일표[업무]&lt;&gt;""),ROW(할일표[날짜])-피벗!$T$11),6))),"")</f>
        <v/>
      </c>
      <c r="N23" s="77" t="str">
        <f t="array" ref="N23">IFERROR(IF(COUNTIFS(할일표[날짜],N$17,할일표[업무],"&lt;&gt;")&lt;6,"",INDEX(구분표[아이콘],MATCH(INDEX(할일표[구분],SMALL(IF((할일표[날짜]=N$17)*(할일표[업무]&lt;&gt;""),ROW(할일표[구분])-ROW(INDEX(할일표[구분],1))+1),6)),구분표[구분],0))),"")</f>
        <v/>
      </c>
      <c r="O23" s="75" t="str">
        <f t="array" ref="O23">IFERROR(IF(COUNTIFS(할일표[날짜],N$17,할일표[업무],"&lt;&gt;")&lt;6,"",INDEX(할일표[표시],SMALL(IF((할일표[날짜]=N$17)*(할일표[업무]&lt;&gt;""),ROW(할일표[표시])-ROW(INDEX(할일표[표시],1))+1),6))),"")</f>
        <v/>
      </c>
      <c r="P23" s="80" t="str">
        <f t="array" ref="P23">IFERROR(IF(COUNTIFS(할일표[날짜],N$17,할일표[업무],"&lt;&gt;")&lt;6,"",INDEX(할일표[업무],SMALL(IF((할일표[날짜]=N$17)*(할일표[업무]&lt;&gt;""),ROW(할일표[날짜])-피벗!$T$11),6))),"")</f>
        <v/>
      </c>
      <c r="Q23" s="76" t="str">
        <f t="array" ref="Q23">IFERROR(IF(COUNTIFS(할일표[날짜],N$17,할일표[업무],"&lt;&gt;")&lt;6,"",INDEX(할일표[진행률],SMALL(IF((할일표[날짜]=N$17)*(할일표[업무]&lt;&gt;""),ROW(할일표[날짜])-피벗!$T$11),6))),"")</f>
        <v/>
      </c>
      <c r="R23" s="77" t="str">
        <f t="array" ref="R23">IFERROR(IF(COUNTIFS(할일표[날짜],R$17,할일표[업무],"&lt;&gt;")&lt;6,"",INDEX(구분표[아이콘],MATCH(INDEX(할일표[구분],SMALL(IF((할일표[날짜]=R$17)*(할일표[업무]&lt;&gt;""),ROW(할일표[구분])-ROW(INDEX(할일표[구분],1))+1),6)),구분표[구분],0))),"")</f>
        <v/>
      </c>
      <c r="S23" s="75" t="str">
        <f t="array" ref="S23">IFERROR(IF(COUNTIFS(할일표[날짜],R$17,할일표[업무],"&lt;&gt;")&lt;6,"",INDEX(할일표[표시],SMALL(IF((할일표[날짜]=R$17)*(할일표[업무]&lt;&gt;""),ROW(할일표[표시])-ROW(INDEX(할일표[표시],1))+1),6))),"")</f>
        <v/>
      </c>
      <c r="T23" s="80" t="str">
        <f t="array" ref="T23">IFERROR(IF(COUNTIFS(할일표[날짜],R$17,할일표[업무],"&lt;&gt;")&lt;6,"",INDEX(할일표[업무],SMALL(IF((할일표[날짜]=R$17)*(할일표[업무]&lt;&gt;""),ROW(할일표[날짜])-피벗!$T$11),6))),"")</f>
        <v/>
      </c>
      <c r="U23" s="76" t="str">
        <f t="array" ref="U23">IFERROR(IF(COUNTIFS(할일표[날짜],R$17,할일표[업무],"&lt;&gt;")&lt;6,"",INDEX(할일표[진행률],SMALL(IF((할일표[날짜]=R$17)*(할일표[업무]&lt;&gt;""),ROW(할일표[날짜])-피벗!$T$11),6))),"")</f>
        <v/>
      </c>
      <c r="V23" s="77" t="str">
        <f t="array" ref="V23">IFERROR(IF(COUNTIFS(할일표[날짜],V$17,할일표[업무],"&lt;&gt;")&lt;6,"",INDEX(구분표[아이콘],MATCH(INDEX(할일표[구분],SMALL(IF((할일표[날짜]=V$17)*(할일표[업무]&lt;&gt;""),ROW(할일표[구분])-ROW(INDEX(할일표[구분],1))+1),6)),구분표[구분],0))),"")</f>
        <v/>
      </c>
      <c r="W23" s="75" t="str">
        <f t="array" ref="W23">IFERROR(IF(COUNTIFS(할일표[날짜],V$17,할일표[업무],"&lt;&gt;")&lt;6,"",INDEX(할일표[표시],SMALL(IF((할일표[날짜]=V$17)*(할일표[업무]&lt;&gt;""),ROW(할일표[표시])-ROW(INDEX(할일표[표시],1))+1),6))),"")</f>
        <v/>
      </c>
      <c r="X23" s="80" t="str">
        <f t="array" ref="X23">IFERROR(IF(COUNTIFS(할일표[날짜],V$17,할일표[업무],"&lt;&gt;")&lt;6,"",INDEX(할일표[업무],SMALL(IF((할일표[날짜]=V$17)*(할일표[업무]&lt;&gt;""),ROW(할일표[날짜])-피벗!$T$11),6))),"")</f>
        <v/>
      </c>
      <c r="Y23" s="76" t="str">
        <f t="array" ref="Y23">IFERROR(IF(COUNTIFS(할일표[날짜],V$17,할일표[업무],"&lt;&gt;")&lt;6,"",INDEX(할일표[진행률],SMALL(IF((할일표[날짜]=V$17)*(할일표[업무]&lt;&gt;""),ROW(할일표[날짜])-피벗!$T$11),6))),"")</f>
        <v/>
      </c>
      <c r="Z23" s="77" t="str">
        <f t="array" ref="Z23">IFERROR(IF(COUNTIFS(할일표[날짜],Z$17,할일표[업무],"&lt;&gt;")&lt;6,"",INDEX(구분표[아이콘],MATCH(INDEX(할일표[구분],SMALL(IF((할일표[날짜]=Z$17)*(할일표[업무]&lt;&gt;""),ROW(할일표[구분])-ROW(INDEX(할일표[구분],1))+1),6)),구분표[구분],0))),"")</f>
        <v/>
      </c>
      <c r="AA23" s="75" t="str">
        <f t="array" ref="AA23">IFERROR(IF(COUNTIFS(할일표[날짜],Z$17,할일표[업무],"&lt;&gt;")&lt;6,"",INDEX(할일표[표시],SMALL(IF((할일표[날짜]=Z$17)*(할일표[업무]&lt;&gt;""),ROW(할일표[표시])-ROW(INDEX(할일표[표시],1))+1),6))),"")</f>
        <v/>
      </c>
      <c r="AB23" s="80" t="str">
        <f t="array" ref="AB23">IFERROR(IF(COUNTIFS(할일표[날짜],Z$17,할일표[업무],"&lt;&gt;")&lt;6,"",INDEX(할일표[업무],SMALL(IF((할일표[날짜]=Z$17)*(할일표[업무]&lt;&gt;""),ROW(할일표[날짜])-피벗!$T$11),6))),"")</f>
        <v/>
      </c>
      <c r="AC23" s="76" t="str">
        <f t="array" ref="AC23">IFERROR(IF(COUNTIFS(할일표[날짜],Z$17,할일표[업무],"&lt;&gt;")&lt;6,"",INDEX(할일표[진행률],SMALL(IF((할일표[날짜]=Z$17)*(할일표[업무]&lt;&gt;""),ROW(할일표[날짜])-피벗!$T$11),6))),"")</f>
        <v/>
      </c>
    </row>
    <row r="24" spans="2:43" s="48" customFormat="1" ht="21" customHeight="1" x14ac:dyDescent="0.45">
      <c r="B24" s="77" t="str">
        <f t="array" ref="B24">IFERROR(IF(COUNTIFS(할일표[날짜],B$17,할일표[업무],"&lt;&gt;")&lt;7,"",INDEX(구분표[아이콘],MATCH(INDEX(할일표[구분],SMALL(IF((할일표[날짜]=B$17)*(할일표[업무]&lt;&gt;""),ROW(할일표[구분])-ROW(INDEX(할일표[구분],1))+1),7)),구분표[구분],0))),"")</f>
        <v/>
      </c>
      <c r="C24" s="75" t="str">
        <f t="array" ref="C24">IFERROR(IF(COUNTIFS(할일표[날짜],B$17,할일표[업무],"&lt;&gt;")&lt;7,"",INDEX(할일표[표시],SMALL(IF((할일표[날짜]=B$17)*(할일표[업무]&lt;&gt;""),ROW(할일표[표시])-ROW(INDEX(할일표[표시],1))+1),7))),"")</f>
        <v/>
      </c>
      <c r="D24" s="80" t="str">
        <f t="array" ref="D24">IFERROR(IF(COUNTIFS(할일표[날짜],B$17,할일표[업무],"&lt;&gt;")&lt;7,"",INDEX(할일표[업무],SMALL(IF((할일표[날짜]=B$17)*(할일표[업무]&lt;&gt;""),ROW(할일표[날짜])-피벗!$T$11),7))),"")</f>
        <v/>
      </c>
      <c r="E24" s="76" t="str">
        <f t="array" ref="E24">IFERROR(IF(COUNTIFS(할일표[날짜],B$17,할일표[업무],"&lt;&gt;")&lt;7,"",INDEX(할일표[진행률],SMALL(IF((할일표[날짜]=B$17)*(할일표[업무]&lt;&gt;""),ROW(할일표[날짜])-피벗!$T$11),7))),"")</f>
        <v/>
      </c>
      <c r="F24" s="77" t="str">
        <f t="array" ref="F24">IFERROR(IF(COUNTIFS(할일표[날짜],F$17,할일표[업무],"&lt;&gt;")&lt;7,"",INDEX(구분표[아이콘],MATCH(INDEX(할일표[구분],SMALL(IF((할일표[날짜]=F$17)*(할일표[업무]&lt;&gt;""),ROW(할일표[구분])-ROW(INDEX(할일표[구분],1))+1),7)),구분표[구분],0))),"")</f>
        <v/>
      </c>
      <c r="G24" s="75" t="str">
        <f t="array" ref="G24">IFERROR(IF(COUNTIFS(할일표[날짜],F$17,할일표[업무],"&lt;&gt;")&lt;7,"",INDEX(할일표[표시],SMALL(IF((할일표[날짜]=F$17)*(할일표[업무]&lt;&gt;""),ROW(할일표[표시])-ROW(INDEX(할일표[표시],1))+1),7))),"")</f>
        <v/>
      </c>
      <c r="H24" s="80" t="str">
        <f t="array" ref="H24">IFERROR(IF(COUNTIFS(할일표[날짜],F$17,할일표[업무],"&lt;&gt;")&lt;7,"",INDEX(할일표[업무],SMALL(IF((할일표[날짜]=F$17)*(할일표[업무]&lt;&gt;""),ROW(할일표[날짜])-피벗!$T$11),7))),"")</f>
        <v/>
      </c>
      <c r="I24" s="76" t="str">
        <f t="array" ref="I24">IFERROR(IF(COUNTIFS(할일표[날짜],F$17,할일표[업무],"&lt;&gt;")&lt;7,"",INDEX(할일표[진행률],SMALL(IF((할일표[날짜]=F$17)*(할일표[업무]&lt;&gt;""),ROW(할일표[날짜])-피벗!$T$11),7))),"")</f>
        <v/>
      </c>
      <c r="J24" s="77" t="str">
        <f t="array" ref="J24">IFERROR(IF(COUNTIFS(할일표[날짜],J$17,할일표[업무],"&lt;&gt;")&lt;7,"",INDEX(구분표[아이콘],MATCH(INDEX(할일표[구분],SMALL(IF((할일표[날짜]=J$17)*(할일표[업무]&lt;&gt;""),ROW(할일표[구분])-ROW(INDEX(할일표[구분],1))+1),7)),구분표[구분],0))),"")</f>
        <v/>
      </c>
      <c r="K24" s="75" t="str">
        <f t="array" ref="K24">IFERROR(IF(COUNTIFS(할일표[날짜],J$17,할일표[업무],"&lt;&gt;")&lt;7,"",INDEX(할일표[표시],SMALL(IF((할일표[날짜]=J$17)*(할일표[업무]&lt;&gt;""),ROW(할일표[표시])-ROW(INDEX(할일표[표시],1))+1),7))),"")</f>
        <v/>
      </c>
      <c r="L24" s="80" t="str">
        <f t="array" ref="L24">IFERROR(IF(COUNTIFS(할일표[날짜],J$17,할일표[업무],"&lt;&gt;")&lt;7,"",INDEX(할일표[업무],SMALL(IF((할일표[날짜]=J$17)*(할일표[업무]&lt;&gt;""),ROW(할일표[날짜])-피벗!$T$11),7))),"")</f>
        <v/>
      </c>
      <c r="M24" s="76" t="str">
        <f t="array" ref="M24">IFERROR(IF(COUNTIFS(할일표[날짜],J$17,할일표[업무],"&lt;&gt;")&lt;7,"",INDEX(할일표[진행률],SMALL(IF((할일표[날짜]=J$17)*(할일표[업무]&lt;&gt;""),ROW(할일표[날짜])-피벗!$T$11),7))),"")</f>
        <v/>
      </c>
      <c r="N24" s="77" t="str">
        <f t="array" ref="N24">IFERROR(IF(COUNTIFS(할일표[날짜],N$17,할일표[업무],"&lt;&gt;")&lt;7,"",INDEX(구분표[아이콘],MATCH(INDEX(할일표[구분],SMALL(IF((할일표[날짜]=N$17)*(할일표[업무]&lt;&gt;""),ROW(할일표[구분])-ROW(INDEX(할일표[구분],1))+1),7)),구분표[구분],0))),"")</f>
        <v/>
      </c>
      <c r="O24" s="75" t="str">
        <f t="array" ref="O24">IFERROR(IF(COUNTIFS(할일표[날짜],N$17,할일표[업무],"&lt;&gt;")&lt;7,"",INDEX(할일표[표시],SMALL(IF((할일표[날짜]=N$17)*(할일표[업무]&lt;&gt;""),ROW(할일표[표시])-ROW(INDEX(할일표[표시],1))+1),7))),"")</f>
        <v/>
      </c>
      <c r="P24" s="80" t="str">
        <f t="array" ref="P24">IFERROR(IF(COUNTIFS(할일표[날짜],N$17,할일표[업무],"&lt;&gt;")&lt;7,"",INDEX(할일표[업무],SMALL(IF((할일표[날짜]=N$17)*(할일표[업무]&lt;&gt;""),ROW(할일표[날짜])-피벗!$T$11),7))),"")</f>
        <v/>
      </c>
      <c r="Q24" s="76" t="str">
        <f t="array" ref="Q24">IFERROR(IF(COUNTIFS(할일표[날짜],N$17,할일표[업무],"&lt;&gt;")&lt;7,"",INDEX(할일표[진행률],SMALL(IF((할일표[날짜]=N$17)*(할일표[업무]&lt;&gt;""),ROW(할일표[날짜])-피벗!$T$11),7))),"")</f>
        <v/>
      </c>
      <c r="R24" s="77" t="str">
        <f t="array" ref="R24">IFERROR(IF(COUNTIFS(할일표[날짜],R$17,할일표[업무],"&lt;&gt;")&lt;7,"",INDEX(구분표[아이콘],MATCH(INDEX(할일표[구분],SMALL(IF((할일표[날짜]=R$17)*(할일표[업무]&lt;&gt;""),ROW(할일표[구분])-ROW(INDEX(할일표[구분],1))+1),7)),구분표[구분],0))),"")</f>
        <v/>
      </c>
      <c r="S24" s="75" t="str">
        <f t="array" ref="S24">IFERROR(IF(COUNTIFS(할일표[날짜],R$17,할일표[업무],"&lt;&gt;")&lt;7,"",INDEX(할일표[표시],SMALL(IF((할일표[날짜]=R$17)*(할일표[업무]&lt;&gt;""),ROW(할일표[표시])-ROW(INDEX(할일표[표시],1))+1),7))),"")</f>
        <v/>
      </c>
      <c r="T24" s="80" t="str">
        <f t="array" ref="T24">IFERROR(IF(COUNTIFS(할일표[날짜],R$17,할일표[업무],"&lt;&gt;")&lt;7,"",INDEX(할일표[업무],SMALL(IF((할일표[날짜]=R$17)*(할일표[업무]&lt;&gt;""),ROW(할일표[날짜])-피벗!$T$11),7))),"")</f>
        <v/>
      </c>
      <c r="U24" s="76" t="str">
        <f t="array" ref="U24">IFERROR(IF(COUNTIFS(할일표[날짜],R$17,할일표[업무],"&lt;&gt;")&lt;7,"",INDEX(할일표[진행률],SMALL(IF((할일표[날짜]=R$17)*(할일표[업무]&lt;&gt;""),ROW(할일표[날짜])-피벗!$T$11),7))),"")</f>
        <v/>
      </c>
      <c r="V24" s="77" t="str">
        <f t="array" ref="V24">IFERROR(IF(COUNTIFS(할일표[날짜],V$17,할일표[업무],"&lt;&gt;")&lt;7,"",INDEX(구분표[아이콘],MATCH(INDEX(할일표[구분],SMALL(IF((할일표[날짜]=V$17)*(할일표[업무]&lt;&gt;""),ROW(할일표[구분])-ROW(INDEX(할일표[구분],1))+1),7)),구분표[구분],0))),"")</f>
        <v/>
      </c>
      <c r="W24" s="75" t="str">
        <f t="array" ref="W24">IFERROR(IF(COUNTIFS(할일표[날짜],V$17,할일표[업무],"&lt;&gt;")&lt;7,"",INDEX(할일표[표시],SMALL(IF((할일표[날짜]=V$17)*(할일표[업무]&lt;&gt;""),ROW(할일표[표시])-ROW(INDEX(할일표[표시],1))+1),7))),"")</f>
        <v/>
      </c>
      <c r="X24" s="80" t="str">
        <f t="array" ref="X24">IFERROR(IF(COUNTIFS(할일표[날짜],V$17,할일표[업무],"&lt;&gt;")&lt;7,"",INDEX(할일표[업무],SMALL(IF((할일표[날짜]=V$17)*(할일표[업무]&lt;&gt;""),ROW(할일표[날짜])-피벗!$T$11),7))),"")</f>
        <v/>
      </c>
      <c r="Y24" s="76" t="str">
        <f t="array" ref="Y24">IFERROR(IF(COUNTIFS(할일표[날짜],V$17,할일표[업무],"&lt;&gt;")&lt;7,"",INDEX(할일표[진행률],SMALL(IF((할일표[날짜]=V$17)*(할일표[업무]&lt;&gt;""),ROW(할일표[날짜])-피벗!$T$11),7))),"")</f>
        <v/>
      </c>
      <c r="Z24" s="77" t="str">
        <f t="array" ref="Z24">IFERROR(IF(COUNTIFS(할일표[날짜],Z$17,할일표[업무],"&lt;&gt;")&lt;7,"",INDEX(구분표[아이콘],MATCH(INDEX(할일표[구분],SMALL(IF((할일표[날짜]=Z$17)*(할일표[업무]&lt;&gt;""),ROW(할일표[구분])-ROW(INDEX(할일표[구분],1))+1),7)),구분표[구분],0))),"")</f>
        <v/>
      </c>
      <c r="AA24" s="75" t="str">
        <f t="array" ref="AA24">IFERROR(IF(COUNTIFS(할일표[날짜],Z$17,할일표[업무],"&lt;&gt;")&lt;7,"",INDEX(할일표[표시],SMALL(IF((할일표[날짜]=Z$17)*(할일표[업무]&lt;&gt;""),ROW(할일표[표시])-ROW(INDEX(할일표[표시],1))+1),7))),"")</f>
        <v/>
      </c>
      <c r="AB24" s="80" t="str">
        <f t="array" ref="AB24">IFERROR(IF(COUNTIFS(할일표[날짜],Z$17,할일표[업무],"&lt;&gt;")&lt;7,"",INDEX(할일표[업무],SMALL(IF((할일표[날짜]=Z$17)*(할일표[업무]&lt;&gt;""),ROW(할일표[날짜])-피벗!$T$11),7))),"")</f>
        <v/>
      </c>
      <c r="AC24" s="76" t="str">
        <f t="array" ref="AC24">IFERROR(IF(COUNTIFS(할일표[날짜],Z$17,할일표[업무],"&lt;&gt;")&lt;7,"",INDEX(할일표[진행률],SMALL(IF((할일표[날짜]=Z$17)*(할일표[업무]&lt;&gt;""),ROW(할일표[날짜])-피벗!$T$11),7))),"")</f>
        <v/>
      </c>
    </row>
    <row r="25" spans="2:43" s="48" customFormat="1" ht="21" customHeight="1" x14ac:dyDescent="0.45">
      <c r="B25" s="77" t="str">
        <f t="array" ref="B25">IFERROR(IF(COUNTIFS(할일표[날짜],B$17,할일표[업무],"&lt;&gt;")&lt;8,"",INDEX(구분표[아이콘],MATCH(INDEX(할일표[구분],SMALL(IF((할일표[날짜]=B$17)*(할일표[업무]&lt;&gt;""),ROW(할일표[구분])-ROW(INDEX(할일표[구분],1))+1),8)),구분표[구분],0))),"")</f>
        <v/>
      </c>
      <c r="C25" s="75" t="str">
        <f t="array" ref="C25">IFERROR(IF(COUNTIFS(할일표[날짜],B$17,할일표[업무],"&lt;&gt;")&lt;8,"",INDEX(할일표[표시],SMALL(IF((할일표[날짜]=B$17)*(할일표[업무]&lt;&gt;""),ROW(할일표[표시])-ROW(INDEX(할일표[표시],1))+1),8))),"")</f>
        <v/>
      </c>
      <c r="D25" s="80" t="str">
        <f t="array" ref="D25">IFERROR(IF(COUNTIFS(할일표[날짜],B$17,할일표[업무],"&lt;&gt;")&lt;8,"",INDEX(할일표[업무],SMALL(IF((할일표[날짜]=B$17)*(할일표[업무]&lt;&gt;""),ROW(할일표[날짜])-피벗!$T$11),8))),"")</f>
        <v/>
      </c>
      <c r="E25" s="76" t="str">
        <f t="array" ref="E25">IFERROR(IF(COUNTIFS(할일표[날짜],B$17,할일표[업무],"&lt;&gt;")&lt;8,"",INDEX(할일표[진행률],SMALL(IF((할일표[날짜]=B$17)*(할일표[업무]&lt;&gt;""),ROW(할일표[날짜])-피벗!$T$11),8))),"")</f>
        <v/>
      </c>
      <c r="F25" s="77" t="str">
        <f t="array" ref="F25">IFERROR(IF(COUNTIFS(할일표[날짜],F$17,할일표[업무],"&lt;&gt;")&lt;8,"",INDEX(구분표[아이콘],MATCH(INDEX(할일표[구분],SMALL(IF((할일표[날짜]=F$17)*(할일표[업무]&lt;&gt;""),ROW(할일표[구분])-ROW(INDEX(할일표[구분],1))+1),8)),구분표[구분],0))),"")</f>
        <v/>
      </c>
      <c r="G25" s="75" t="str">
        <f t="array" ref="G25">IFERROR(IF(COUNTIFS(할일표[날짜],F$17,할일표[업무],"&lt;&gt;")&lt;8,"",INDEX(할일표[표시],SMALL(IF((할일표[날짜]=F$17)*(할일표[업무]&lt;&gt;""),ROW(할일표[표시])-ROW(INDEX(할일표[표시],1))+1),8))),"")</f>
        <v/>
      </c>
      <c r="H25" s="80" t="str">
        <f t="array" ref="H25">IFERROR(IF(COUNTIFS(할일표[날짜],F$17,할일표[업무],"&lt;&gt;")&lt;8,"",INDEX(할일표[업무],SMALL(IF((할일표[날짜]=F$17)*(할일표[업무]&lt;&gt;""),ROW(할일표[날짜])-피벗!$T$11),8))),"")</f>
        <v/>
      </c>
      <c r="I25" s="76" t="str">
        <f t="array" ref="I25">IFERROR(IF(COUNTIFS(할일표[날짜],F$17,할일표[업무],"&lt;&gt;")&lt;8,"",INDEX(할일표[진행률],SMALL(IF((할일표[날짜]=F$17)*(할일표[업무]&lt;&gt;""),ROW(할일표[날짜])-피벗!$T$11),8))),"")</f>
        <v/>
      </c>
      <c r="J25" s="77" t="str">
        <f t="array" ref="J25">IFERROR(IF(COUNTIFS(할일표[날짜],J$17,할일표[업무],"&lt;&gt;")&lt;8,"",INDEX(구분표[아이콘],MATCH(INDEX(할일표[구분],SMALL(IF((할일표[날짜]=J$17)*(할일표[업무]&lt;&gt;""),ROW(할일표[구분])-ROW(INDEX(할일표[구분],1))+1),8)),구분표[구분],0))),"")</f>
        <v/>
      </c>
      <c r="K25" s="75" t="str">
        <f t="array" ref="K25">IFERROR(IF(COUNTIFS(할일표[날짜],J$17,할일표[업무],"&lt;&gt;")&lt;8,"",INDEX(할일표[표시],SMALL(IF((할일표[날짜]=J$17)*(할일표[업무]&lt;&gt;""),ROW(할일표[표시])-ROW(INDEX(할일표[표시],1))+1),8))),"")</f>
        <v/>
      </c>
      <c r="L25" s="80" t="str">
        <f t="array" ref="L25">IFERROR(IF(COUNTIFS(할일표[날짜],J$17,할일표[업무],"&lt;&gt;")&lt;8,"",INDEX(할일표[업무],SMALL(IF((할일표[날짜]=J$17)*(할일표[업무]&lt;&gt;""),ROW(할일표[날짜])-피벗!$T$11),8))),"")</f>
        <v/>
      </c>
      <c r="M25" s="76" t="str">
        <f t="array" ref="M25">IFERROR(IF(COUNTIFS(할일표[날짜],J$17,할일표[업무],"&lt;&gt;")&lt;8,"",INDEX(할일표[진행률],SMALL(IF((할일표[날짜]=J$17)*(할일표[업무]&lt;&gt;""),ROW(할일표[날짜])-피벗!$T$11),8))),"")</f>
        <v/>
      </c>
      <c r="N25" s="77" t="str">
        <f t="array" ref="N25">IFERROR(IF(COUNTIFS(할일표[날짜],N$17,할일표[업무],"&lt;&gt;")&lt;8,"",INDEX(구분표[아이콘],MATCH(INDEX(할일표[구분],SMALL(IF((할일표[날짜]=N$17)*(할일표[업무]&lt;&gt;""),ROW(할일표[구분])-ROW(INDEX(할일표[구분],1))+1),8)),구분표[구분],0))),"")</f>
        <v/>
      </c>
      <c r="O25" s="75" t="str">
        <f t="array" ref="O25">IFERROR(IF(COUNTIFS(할일표[날짜],N$17,할일표[업무],"&lt;&gt;")&lt;8,"",INDEX(할일표[표시],SMALL(IF((할일표[날짜]=N$17)*(할일표[업무]&lt;&gt;""),ROW(할일표[표시])-ROW(INDEX(할일표[표시],1))+1),8))),"")</f>
        <v/>
      </c>
      <c r="P25" s="80" t="str">
        <f t="array" ref="P25">IFERROR(IF(COUNTIFS(할일표[날짜],N$17,할일표[업무],"&lt;&gt;")&lt;8,"",INDEX(할일표[업무],SMALL(IF((할일표[날짜]=N$17)*(할일표[업무]&lt;&gt;""),ROW(할일표[날짜])-피벗!$T$11),8))),"")</f>
        <v/>
      </c>
      <c r="Q25" s="76" t="str">
        <f t="array" ref="Q25">IFERROR(IF(COUNTIFS(할일표[날짜],N$17,할일표[업무],"&lt;&gt;")&lt;8,"",INDEX(할일표[진행률],SMALL(IF((할일표[날짜]=N$17)*(할일표[업무]&lt;&gt;""),ROW(할일표[날짜])-피벗!$T$11),8))),"")</f>
        <v/>
      </c>
      <c r="R25" s="77" t="str">
        <f t="array" ref="R25">IFERROR(IF(COUNTIFS(할일표[날짜],R$17,할일표[업무],"&lt;&gt;")&lt;8,"",INDEX(구분표[아이콘],MATCH(INDEX(할일표[구분],SMALL(IF((할일표[날짜]=R$17)*(할일표[업무]&lt;&gt;""),ROW(할일표[구분])-ROW(INDEX(할일표[구분],1))+1),8)),구분표[구분],0))),"")</f>
        <v/>
      </c>
      <c r="S25" s="75" t="str">
        <f t="array" ref="S25">IFERROR(IF(COUNTIFS(할일표[날짜],R$17,할일표[업무],"&lt;&gt;")&lt;8,"",INDEX(할일표[표시],SMALL(IF((할일표[날짜]=R$17)*(할일표[업무]&lt;&gt;""),ROW(할일표[표시])-ROW(INDEX(할일표[표시],1))+1),8))),"")</f>
        <v/>
      </c>
      <c r="T25" s="80" t="str">
        <f t="array" ref="T25">IFERROR(IF(COUNTIFS(할일표[날짜],R$17,할일표[업무],"&lt;&gt;")&lt;8,"",INDEX(할일표[업무],SMALL(IF((할일표[날짜]=R$17)*(할일표[업무]&lt;&gt;""),ROW(할일표[날짜])-피벗!$T$11),8))),"")</f>
        <v/>
      </c>
      <c r="U25" s="76" t="str">
        <f t="array" ref="U25">IFERROR(IF(COUNTIFS(할일표[날짜],R$17,할일표[업무],"&lt;&gt;")&lt;8,"",INDEX(할일표[진행률],SMALL(IF((할일표[날짜]=R$17)*(할일표[업무]&lt;&gt;""),ROW(할일표[날짜])-피벗!$T$11),8))),"")</f>
        <v/>
      </c>
      <c r="V25" s="77" t="str">
        <f t="array" ref="V25">IFERROR(IF(COUNTIFS(할일표[날짜],V$17,할일표[업무],"&lt;&gt;")&lt;8,"",INDEX(구분표[아이콘],MATCH(INDEX(할일표[구분],SMALL(IF((할일표[날짜]=V$17)*(할일표[업무]&lt;&gt;""),ROW(할일표[구분])-ROW(INDEX(할일표[구분],1))+1),8)),구분표[구분],0))),"")</f>
        <v/>
      </c>
      <c r="W25" s="75" t="str">
        <f t="array" ref="W25">IFERROR(IF(COUNTIFS(할일표[날짜],V$17,할일표[업무],"&lt;&gt;")&lt;8,"",INDEX(할일표[표시],SMALL(IF((할일표[날짜]=V$17)*(할일표[업무]&lt;&gt;""),ROW(할일표[표시])-ROW(INDEX(할일표[표시],1))+1),8))),"")</f>
        <v/>
      </c>
      <c r="X25" s="80" t="str">
        <f t="array" ref="X25">IFERROR(IF(COUNTIFS(할일표[날짜],V$17,할일표[업무],"&lt;&gt;")&lt;8,"",INDEX(할일표[업무],SMALL(IF((할일표[날짜]=V$17)*(할일표[업무]&lt;&gt;""),ROW(할일표[날짜])-피벗!$T$11),8))),"")</f>
        <v/>
      </c>
      <c r="Y25" s="76" t="str">
        <f t="array" ref="Y25">IFERROR(IF(COUNTIFS(할일표[날짜],V$17,할일표[업무],"&lt;&gt;")&lt;8,"",INDEX(할일표[진행률],SMALL(IF((할일표[날짜]=V$17)*(할일표[업무]&lt;&gt;""),ROW(할일표[날짜])-피벗!$T$11),8))),"")</f>
        <v/>
      </c>
      <c r="Z25" s="77" t="str">
        <f t="array" ref="Z25">IFERROR(IF(COUNTIFS(할일표[날짜],Z$17,할일표[업무],"&lt;&gt;")&lt;8,"",INDEX(구분표[아이콘],MATCH(INDEX(할일표[구분],SMALL(IF((할일표[날짜]=Z$17)*(할일표[업무]&lt;&gt;""),ROW(할일표[구분])-ROW(INDEX(할일표[구분],1))+1),8)),구분표[구분],0))),"")</f>
        <v/>
      </c>
      <c r="AA25" s="75" t="str">
        <f t="array" ref="AA25">IFERROR(IF(COUNTIFS(할일표[날짜],Z$17,할일표[업무],"&lt;&gt;")&lt;8,"",INDEX(할일표[표시],SMALL(IF((할일표[날짜]=Z$17)*(할일표[업무]&lt;&gt;""),ROW(할일표[표시])-ROW(INDEX(할일표[표시],1))+1),8))),"")</f>
        <v/>
      </c>
      <c r="AB25" s="80" t="str">
        <f t="array" ref="AB25">IFERROR(IF(COUNTIFS(할일표[날짜],Z$17,할일표[업무],"&lt;&gt;")&lt;8,"",INDEX(할일표[업무],SMALL(IF((할일표[날짜]=Z$17)*(할일표[업무]&lt;&gt;""),ROW(할일표[날짜])-피벗!$T$11),8))),"")</f>
        <v/>
      </c>
      <c r="AC25" s="76" t="str">
        <f t="array" ref="AC25">IFERROR(IF(COUNTIFS(할일표[날짜],Z$17,할일표[업무],"&lt;&gt;")&lt;8,"",INDEX(할일표[진행률],SMALL(IF((할일표[날짜]=Z$17)*(할일표[업무]&lt;&gt;""),ROW(할일표[날짜])-피벗!$T$11),8))),"")</f>
        <v/>
      </c>
      <c r="AI25" s="45"/>
      <c r="AJ25" s="45"/>
      <c r="AK25" s="45"/>
      <c r="AL25" s="45"/>
      <c r="AM25" s="45"/>
      <c r="AN25" s="45"/>
      <c r="AO25" s="45"/>
      <c r="AP25" s="45"/>
      <c r="AQ25" s="45"/>
    </row>
    <row r="26" spans="2:43" ht="7.5" customHeight="1" x14ac:dyDescent="0.45">
      <c r="B26" s="87"/>
      <c r="C26" s="88"/>
      <c r="D26" s="88"/>
      <c r="E26" s="89"/>
      <c r="F26" s="87"/>
      <c r="G26" s="88"/>
      <c r="H26" s="88"/>
      <c r="I26" s="89"/>
      <c r="J26" s="87"/>
      <c r="K26" s="88"/>
      <c r="L26" s="88"/>
      <c r="M26" s="89"/>
      <c r="N26" s="87"/>
      <c r="O26" s="88"/>
      <c r="P26" s="88"/>
      <c r="Q26" s="89"/>
      <c r="R26" s="87"/>
      <c r="S26" s="88"/>
      <c r="T26" s="88"/>
      <c r="U26" s="89"/>
      <c r="V26" s="87"/>
      <c r="W26" s="88"/>
      <c r="X26" s="88"/>
      <c r="Y26" s="89"/>
      <c r="Z26" s="87"/>
      <c r="AA26" s="88"/>
      <c r="AB26" s="88"/>
      <c r="AC26" s="89"/>
      <c r="AI26" s="44"/>
      <c r="AJ26" s="44"/>
      <c r="AK26" s="44"/>
      <c r="AL26" s="44"/>
      <c r="AM26" s="44"/>
      <c r="AN26" s="44"/>
      <c r="AO26" s="44"/>
      <c r="AP26" s="44"/>
      <c r="AQ26" s="44"/>
    </row>
    <row r="27" spans="2:43" s="44" customFormat="1" ht="23.5" customHeight="1" x14ac:dyDescent="0.45">
      <c r="B27" s="71">
        <f>Z17+1</f>
        <v>46278</v>
      </c>
      <c r="C27" s="72"/>
      <c r="D27" s="72"/>
      <c r="E27" s="73"/>
      <c r="F27" s="71">
        <f>B27+1</f>
        <v>46279</v>
      </c>
      <c r="G27" s="72"/>
      <c r="H27" s="72"/>
      <c r="I27" s="73"/>
      <c r="J27" s="71">
        <f>F27+1</f>
        <v>46280</v>
      </c>
      <c r="K27" s="72"/>
      <c r="L27" s="72"/>
      <c r="M27" s="73"/>
      <c r="N27" s="71">
        <f>J27+1</f>
        <v>46281</v>
      </c>
      <c r="O27" s="72"/>
      <c r="P27" s="72"/>
      <c r="Q27" s="73"/>
      <c r="R27" s="71">
        <f>N27+1</f>
        <v>46282</v>
      </c>
      <c r="S27" s="72"/>
      <c r="T27" s="72"/>
      <c r="U27" s="73"/>
      <c r="V27" s="71">
        <f>R27+1</f>
        <v>46283</v>
      </c>
      <c r="W27" s="72"/>
      <c r="X27" s="72"/>
      <c r="Y27" s="73"/>
      <c r="Z27" s="71">
        <f>V27+1</f>
        <v>46284</v>
      </c>
      <c r="AA27" s="72"/>
      <c r="AB27" s="72"/>
      <c r="AC27" s="73"/>
      <c r="AI27" s="48"/>
      <c r="AJ27" s="48"/>
      <c r="AK27" s="48"/>
      <c r="AL27" s="48"/>
      <c r="AM27" s="48"/>
      <c r="AN27" s="48"/>
      <c r="AO27" s="48"/>
      <c r="AP27" s="48"/>
      <c r="AQ27" s="48"/>
    </row>
    <row r="28" spans="2:43" s="48" customFormat="1" ht="21" customHeight="1" x14ac:dyDescent="0.45">
      <c r="B28" s="74" t="str">
        <f t="array" ref="B28">IFERROR(IF(COUNTIFS(할일표[날짜],B$27,할일표[업무],"&lt;&gt;")&lt;1,"",INDEX(구분표[아이콘],MATCH(INDEX(할일표[구분],SMALL(IF((할일표[날짜]=B$27)*(할일표[업무]&lt;&gt;""),ROW(할일표[구분])-ROW(INDEX(할일표[구분],1))+1),1)),구분표[구분],0))),"")</f>
        <v/>
      </c>
      <c r="C28" s="75" t="str">
        <f t="array" ref="C28">IFERROR(IF(COUNTIFS(할일표[날짜],B$27,할일표[업무],"&lt;&gt;")&lt;1,"",INDEX(할일표[표시],SMALL(IF((할일표[날짜]=B$27)*(할일표[업무]&lt;&gt;""),ROW(할일표[표시])-ROW(INDEX(할일표[표시],1))+1),1))),"")</f>
        <v/>
      </c>
      <c r="D28" s="80" t="str">
        <f t="array" ref="D28">IFERROR(IF(COUNTIFS(할일표[날짜],B$27,할일표[업무],"&lt;&gt;")&lt;1,"",INDEX(할일표[업무],SMALL(IF((할일표[날짜]=B$27)*(할일표[업무]&lt;&gt;""),ROW(할일표[날짜])-피벗!$T$11),1))),"")</f>
        <v/>
      </c>
      <c r="E28" s="76" t="str">
        <f t="array" ref="E28">IFERROR(IF(COUNTIFS(할일표[날짜],B$27,할일표[업무],"&lt;&gt;")&lt;1,"",INDEX(할일표[진행률],SMALL(IF((할일표[날짜]=B$27)*(할일표[업무]&lt;&gt;""),ROW(할일표[날짜])-피벗!$T$11),1))),"")</f>
        <v/>
      </c>
      <c r="F28" s="74" t="str">
        <f t="array" ref="F28">IFERROR(IF(COUNTIFS(할일표[날짜],F$27,할일표[업무],"&lt;&gt;")&lt;1,"",INDEX(구분표[아이콘],MATCH(INDEX(할일표[구분],SMALL(IF((할일표[날짜]=F$27)*(할일표[업무]&lt;&gt;""),ROW(할일표[구분])-ROW(INDEX(할일표[구분],1))+1),1)),구분표[구분],0))),"")</f>
        <v/>
      </c>
      <c r="G28" s="75" t="str">
        <f t="array" ref="G28">IFERROR(IF(COUNTIFS(할일표[날짜],F$27,할일표[업무],"&lt;&gt;")&lt;1,"",INDEX(할일표[표시],SMALL(IF((할일표[날짜]=F$27)*(할일표[업무]&lt;&gt;""),ROW(할일표[표시])-ROW(INDEX(할일표[표시],1))+1),1))),"")</f>
        <v/>
      </c>
      <c r="H28" s="80" t="str">
        <f t="array" ref="H28">IFERROR(IF(COUNTIFS(할일표[날짜],F$27,할일표[업무],"&lt;&gt;")&lt;1,"",INDEX(할일표[업무],SMALL(IF((할일표[날짜]=F$27)*(할일표[업무]&lt;&gt;""),ROW(할일표[날짜])-피벗!$T$11),1))),"")</f>
        <v/>
      </c>
      <c r="I28" s="76" t="str">
        <f t="array" ref="I28">IFERROR(IF(COUNTIFS(할일표[날짜],F$27,할일표[업무],"&lt;&gt;")&lt;1,"",INDEX(할일표[진행률],SMALL(IF((할일표[날짜]=F$27)*(할일표[업무]&lt;&gt;""),ROW(할일표[날짜])-피벗!$T$11),1))),"")</f>
        <v/>
      </c>
      <c r="J28" s="74" t="str">
        <f t="array" ref="J28">IFERROR(IF(COUNTIFS(할일표[날짜],J$27,할일표[업무],"&lt;&gt;")&lt;1,"",INDEX(구분표[아이콘],MATCH(INDEX(할일표[구분],SMALL(IF((할일표[날짜]=J$27)*(할일표[업무]&lt;&gt;""),ROW(할일표[구분])-ROW(INDEX(할일표[구분],1))+1),1)),구분표[구분],0))),"")</f>
        <v/>
      </c>
      <c r="K28" s="75" t="str">
        <f t="array" ref="K28">IFERROR(IF(COUNTIFS(할일표[날짜],J$27,할일표[업무],"&lt;&gt;")&lt;1,"",INDEX(할일표[표시],SMALL(IF((할일표[날짜]=J$27)*(할일표[업무]&lt;&gt;""),ROW(할일표[표시])-ROW(INDEX(할일표[표시],1))+1),1))),"")</f>
        <v/>
      </c>
      <c r="L28" s="80" t="str">
        <f t="array" ref="L28">IFERROR(IF(COUNTIFS(할일표[날짜],J$27,할일표[업무],"&lt;&gt;")&lt;1,"",INDEX(할일표[업무],SMALL(IF((할일표[날짜]=J$27)*(할일표[업무]&lt;&gt;""),ROW(할일표[날짜])-피벗!$T$11),1))),"")</f>
        <v/>
      </c>
      <c r="M28" s="76" t="str">
        <f t="array" ref="M28">IFERROR(IF(COUNTIFS(할일표[날짜],J$27,할일표[업무],"&lt;&gt;")&lt;1,"",INDEX(할일표[진행률],SMALL(IF((할일표[날짜]=J$27)*(할일표[업무]&lt;&gt;""),ROW(할일표[날짜])-피벗!$T$11),1))),"")</f>
        <v/>
      </c>
      <c r="N28" s="74" t="str">
        <f t="array" ref="N28">IFERROR(IF(COUNTIFS(할일표[날짜],N$27,할일표[업무],"&lt;&gt;")&lt;1,"",INDEX(구분표[아이콘],MATCH(INDEX(할일표[구분],SMALL(IF((할일표[날짜]=N$27)*(할일표[업무]&lt;&gt;""),ROW(할일표[구분])-ROW(INDEX(할일표[구분],1))+1),1)),구분표[구분],0))),"")</f>
        <v>🗓️</v>
      </c>
      <c r="O28" s="75">
        <f t="array" ref="O28">IFERROR(IF(COUNTIFS(할일표[날짜],N$27,할일표[업무],"&lt;&gt;")&lt;1,"",INDEX(할일표[표시],SMALL(IF((할일표[날짜]=N$27)*(할일표[업무]&lt;&gt;""),ROW(할일표[표시])-ROW(INDEX(할일표[표시],1))+1),1))),"")</f>
        <v>3</v>
      </c>
      <c r="P28" s="80" t="str">
        <f t="array" ref="P28">IFERROR(IF(COUNTIFS(할일표[날짜],N$27,할일표[업무],"&lt;&gt;")&lt;1,"",INDEX(할일표[업무],SMALL(IF((할일표[날짜]=N$27)*(할일표[업무]&lt;&gt;""),ROW(할일표[날짜])-피벗!$T$11),1))),"")</f>
        <v>10:00 신제품 프로모션 미팅</v>
      </c>
      <c r="Q28" s="76">
        <f t="array" ref="Q28">IFERROR(IF(COUNTIFS(할일표[날짜],N$27,할일표[업무],"&lt;&gt;")&lt;1,"",INDEX(할일표[진행률],SMALL(IF((할일표[날짜]=N$27)*(할일표[업무]&lt;&gt;""),ROW(할일표[날짜])-피벗!$T$11),1))),"")</f>
        <v>0</v>
      </c>
      <c r="R28" s="74">
        <f t="array" ref="R28">IFERROR(IF(COUNTIFS(할일표[날짜],R$27,할일표[업무],"&lt;&gt;")&lt;1,"",INDEX(구분표[아이콘],MATCH(INDEX(할일표[구분],SMALL(IF((할일표[날짜]=R$27)*(할일표[업무]&lt;&gt;""),ROW(할일표[구분])-ROW(INDEX(할일표[구분],1))+1),1)),구분표[구분],0))),"")</f>
        <v>0</v>
      </c>
      <c r="S28" s="75">
        <f t="array" ref="S28">IFERROR(IF(COUNTIFS(할일표[날짜],R$27,할일표[업무],"&lt;&gt;")&lt;1,"",INDEX(할일표[표시],SMALL(IF((할일표[날짜]=R$27)*(할일표[업무]&lt;&gt;""),ROW(할일표[표시])-ROW(INDEX(할일표[표시],1))+1),1))),"")</f>
        <v>1</v>
      </c>
      <c r="T28" s="80" t="str">
        <f t="array" ref="T28">IFERROR(IF(COUNTIFS(할일표[날짜],R$27,할일표[업무],"&lt;&gt;")&lt;1,"",INDEX(할일표[업무],SMALL(IF((할일표[날짜]=R$27)*(할일표[업무]&lt;&gt;""),ROW(할일표[날짜])-피벗!$T$11),1))),"")</f>
        <v>블로그 포스팅</v>
      </c>
      <c r="U28" s="76">
        <f t="array" ref="U28">IFERROR(IF(COUNTIFS(할일표[날짜],R$27,할일표[업무],"&lt;&gt;")&lt;1,"",INDEX(할일표[진행률],SMALL(IF((할일표[날짜]=R$27)*(할일표[업무]&lt;&gt;""),ROW(할일표[날짜])-피벗!$T$11),1))),"")</f>
        <v>0.5</v>
      </c>
      <c r="V28" s="74">
        <f t="array" ref="V28">IFERROR(IF(COUNTIFS(할일표[날짜],V$27,할일표[업무],"&lt;&gt;")&lt;1,"",INDEX(구분표[아이콘],MATCH(INDEX(할일표[구분],SMALL(IF((할일표[날짜]=V$27)*(할일표[업무]&lt;&gt;""),ROW(할일표[구분])-ROW(INDEX(할일표[구분],1))+1),1)),구분표[구분],0))),"")</f>
        <v>0</v>
      </c>
      <c r="W28" s="75">
        <f t="array" ref="W28">IFERROR(IF(COUNTIFS(할일표[날짜],V$27,할일표[업무],"&lt;&gt;")&lt;1,"",INDEX(할일표[표시],SMALL(IF((할일표[날짜]=V$27)*(할일표[업무]&lt;&gt;""),ROW(할일표[표시])-ROW(INDEX(할일표[표시],1))+1),1))),"")</f>
        <v>3</v>
      </c>
      <c r="X28" s="80" t="str">
        <f t="array" ref="X28">IFERROR(IF(COUNTIFS(할일표[날짜],V$27,할일표[업무],"&lt;&gt;")&lt;1,"",INDEX(할일표[업무],SMALL(IF((할일표[날짜]=V$27)*(할일표[업무]&lt;&gt;""),ROW(할일표[날짜])-피벗!$T$11),1))),"")</f>
        <v>카드뉴스 기획</v>
      </c>
      <c r="Y28" s="76">
        <f t="array" ref="Y28">IFERROR(IF(COUNTIFS(할일표[날짜],V$27,할일표[업무],"&lt;&gt;")&lt;1,"",INDEX(할일표[진행률],SMALL(IF((할일표[날짜]=V$27)*(할일표[업무]&lt;&gt;""),ROW(할일표[날짜])-피벗!$T$11),1))),"")</f>
        <v>1</v>
      </c>
      <c r="Z28" s="74">
        <f t="array" ref="Z28">IFERROR(IF(COUNTIFS(할일표[날짜],Z$27,할일표[업무],"&lt;&gt;")&lt;1,"",INDEX(구분표[아이콘],MATCH(INDEX(할일표[구분],SMALL(IF((할일표[날짜]=Z$27)*(할일표[업무]&lt;&gt;""),ROW(할일표[구분])-ROW(INDEX(할일표[구분],1))+1),1)),구분표[구분],0))),"")</f>
        <v>0</v>
      </c>
      <c r="AA28" s="75">
        <f t="array" ref="AA28">IFERROR(IF(COUNTIFS(할일표[날짜],Z$27,할일표[업무],"&lt;&gt;")&lt;1,"",INDEX(할일표[표시],SMALL(IF((할일표[날짜]=Z$27)*(할일표[업무]&lt;&gt;""),ROW(할일표[표시])-ROW(INDEX(할일표[표시],1))+1),1))),"")</f>
        <v>2</v>
      </c>
      <c r="AB28" s="80" t="str">
        <f t="array" ref="AB28">IFERROR(IF(COUNTIFS(할일표[날짜],Z$27,할일표[업무],"&lt;&gt;")&lt;1,"",INDEX(할일표[업무],SMALL(IF((할일표[날짜]=Z$27)*(할일표[업무]&lt;&gt;""),ROW(할일표[날짜])-피벗!$T$11),1))),"")</f>
        <v>카드뉴스 초안 작성</v>
      </c>
      <c r="AC28" s="76">
        <f t="array" ref="AC28">IFERROR(IF(COUNTIFS(할일표[날짜],Z$27,할일표[업무],"&lt;&gt;")&lt;1,"",INDEX(할일표[진행률],SMALL(IF((할일표[날짜]=Z$27)*(할일표[업무]&lt;&gt;""),ROW(할일표[날짜])-피벗!$T$11),1))),"")</f>
        <v>1</v>
      </c>
    </row>
    <row r="29" spans="2:43" s="48" customFormat="1" ht="21" customHeight="1" x14ac:dyDescent="0.45">
      <c r="B29" s="74" t="str">
        <f t="array" ref="B29">IFERROR(IF(COUNTIFS(할일표[날짜],B$27,할일표[업무],"&lt;&gt;")&lt;2,"",INDEX(구분표[아이콘],MATCH(INDEX(할일표[구분],SMALL(IF((할일표[날짜]=B$27)*(할일표[업무]&lt;&gt;""),ROW(할일표[구분])-ROW(INDEX(할일표[구분],1))+1),2)),구분표[구분],0))),"")</f>
        <v/>
      </c>
      <c r="C29" s="75" t="str">
        <f t="array" ref="C29">IFERROR(IF(COUNTIFS(할일표[날짜],B$27,할일표[업무],"&lt;&gt;")&lt;2,"",INDEX(할일표[표시],SMALL(IF((할일표[날짜]=B$27)*(할일표[업무]&lt;&gt;""),ROW(할일표[표시])-ROW(INDEX(할일표[표시],1))+1),2))),"")</f>
        <v/>
      </c>
      <c r="D29" s="80" t="str">
        <f t="array" ref="D29">IFERROR(IF(COUNTIFS(할일표[날짜],B$27,할일표[업무],"&lt;&gt;")&lt;2,"",INDEX(할일표[업무],SMALL(IF((할일표[날짜]=B$27)*(할일표[업무]&lt;&gt;""),ROW(할일표[날짜])-피벗!$T$11),2))),"")</f>
        <v/>
      </c>
      <c r="E29" s="76" t="str">
        <f t="array" ref="E29">IFERROR(IF(COUNTIFS(할일표[날짜],B$27,할일표[업무],"&lt;&gt;")&lt;2,"",INDEX(할일표[진행률],SMALL(IF((할일표[날짜]=B$27)*(할일표[업무]&lt;&gt;""),ROW(할일표[날짜])-피벗!$T$11),2))),"")</f>
        <v/>
      </c>
      <c r="F29" s="74" t="str">
        <f t="array" ref="F29">IFERROR(IF(COUNTIFS(할일표[날짜],F$27,할일표[업무],"&lt;&gt;")&lt;2,"",INDEX(구분표[아이콘],MATCH(INDEX(할일표[구분],SMALL(IF((할일표[날짜]=F$27)*(할일표[업무]&lt;&gt;""),ROW(할일표[구분])-ROW(INDEX(할일표[구분],1))+1),2)),구분표[구분],0))),"")</f>
        <v/>
      </c>
      <c r="G29" s="75" t="str">
        <f t="array" ref="G29">IFERROR(IF(COUNTIFS(할일표[날짜],F$27,할일표[업무],"&lt;&gt;")&lt;2,"",INDEX(할일표[표시],SMALL(IF((할일표[날짜]=F$27)*(할일표[업무]&lt;&gt;""),ROW(할일표[표시])-ROW(INDEX(할일표[표시],1))+1),2))),"")</f>
        <v/>
      </c>
      <c r="H29" s="80" t="str">
        <f t="array" ref="H29">IFERROR(IF(COUNTIFS(할일표[날짜],F$27,할일표[업무],"&lt;&gt;")&lt;2,"",INDEX(할일표[업무],SMALL(IF((할일표[날짜]=F$27)*(할일표[업무]&lt;&gt;""),ROW(할일표[날짜])-피벗!$T$11),2))),"")</f>
        <v/>
      </c>
      <c r="I29" s="76" t="str">
        <f t="array" ref="I29">IFERROR(IF(COUNTIFS(할일표[날짜],F$27,할일표[업무],"&lt;&gt;")&lt;2,"",INDEX(할일표[진행률],SMALL(IF((할일표[날짜]=F$27)*(할일표[업무]&lt;&gt;""),ROW(할일표[날짜])-피벗!$T$11),2))),"")</f>
        <v/>
      </c>
      <c r="J29" s="74" t="str">
        <f t="array" ref="J29">IFERROR(IF(COUNTIFS(할일표[날짜],J$27,할일표[업무],"&lt;&gt;")&lt;2,"",INDEX(구분표[아이콘],MATCH(INDEX(할일표[구분],SMALL(IF((할일표[날짜]=J$27)*(할일표[업무]&lt;&gt;""),ROW(할일표[구분])-ROW(INDEX(할일표[구분],1))+1),2)),구분표[구분],0))),"")</f>
        <v/>
      </c>
      <c r="K29" s="75" t="str">
        <f t="array" ref="K29">IFERROR(IF(COUNTIFS(할일표[날짜],J$27,할일표[업무],"&lt;&gt;")&lt;2,"",INDEX(할일표[표시],SMALL(IF((할일표[날짜]=J$27)*(할일표[업무]&lt;&gt;""),ROW(할일표[표시])-ROW(INDEX(할일표[표시],1))+1),2))),"")</f>
        <v/>
      </c>
      <c r="L29" s="80" t="str">
        <f t="array" ref="L29">IFERROR(IF(COUNTIFS(할일표[날짜],J$27,할일표[업무],"&lt;&gt;")&lt;2,"",INDEX(할일표[업무],SMALL(IF((할일표[날짜]=J$27)*(할일표[업무]&lt;&gt;""),ROW(할일표[날짜])-피벗!$T$11),2))),"")</f>
        <v/>
      </c>
      <c r="M29" s="76" t="str">
        <f t="array" ref="M29">IFERROR(IF(COUNTIFS(할일표[날짜],J$27,할일표[업무],"&lt;&gt;")&lt;2,"",INDEX(할일표[진행률],SMALL(IF((할일표[날짜]=J$27)*(할일표[업무]&lt;&gt;""),ROW(할일표[날짜])-피벗!$T$11),2))),"")</f>
        <v/>
      </c>
      <c r="N29" s="74">
        <f t="array" ref="N29">IFERROR(IF(COUNTIFS(할일표[날짜],N$27,할일표[업무],"&lt;&gt;")&lt;2,"",INDEX(구분표[아이콘],MATCH(INDEX(할일표[구분],SMALL(IF((할일표[날짜]=N$27)*(할일표[업무]&lt;&gt;""),ROW(할일표[구분])-ROW(INDEX(할일표[구분],1))+1),2)),구분표[구분],0))),"")</f>
        <v>0</v>
      </c>
      <c r="O29" s="75">
        <f t="array" ref="O29">IFERROR(IF(COUNTIFS(할일표[날짜],N$27,할일표[업무],"&lt;&gt;")&lt;2,"",INDEX(할일표[표시],SMALL(IF((할일표[날짜]=N$27)*(할일표[업무]&lt;&gt;""),ROW(할일표[표시])-ROW(INDEX(할일표[표시],1))+1),2))),"")</f>
        <v>2</v>
      </c>
      <c r="P29" s="80" t="str">
        <f t="array" ref="P29">IFERROR(IF(COUNTIFS(할일표[날짜],N$27,할일표[업무],"&lt;&gt;")&lt;2,"",INDEX(할일표[업무],SMALL(IF((할일표[날짜]=N$27)*(할일표[업무]&lt;&gt;""),ROW(할일표[날짜])-피벗!$T$11),2))),"")</f>
        <v>블로그 초안 작성</v>
      </c>
      <c r="Q29" s="76">
        <f t="array" ref="Q29">IFERROR(IF(COUNTIFS(할일표[날짜],N$27,할일표[업무],"&lt;&gt;")&lt;2,"",INDEX(할일표[진행률],SMALL(IF((할일표[날짜]=N$27)*(할일표[업무]&lt;&gt;""),ROW(할일표[날짜])-피벗!$T$11),2))),"")</f>
        <v>0.9</v>
      </c>
      <c r="R29" s="74" t="str">
        <f t="array" ref="R29">IFERROR(IF(COUNTIFS(할일표[날짜],R$27,할일표[업무],"&lt;&gt;")&lt;2,"",INDEX(구분표[아이콘],MATCH(INDEX(할일표[구분],SMALL(IF((할일표[날짜]=R$27)*(할일표[업무]&lt;&gt;""),ROW(할일표[구분])-ROW(INDEX(할일표[구분],1))+1),2)),구분표[구분],0))),"")</f>
        <v/>
      </c>
      <c r="S29" s="75" t="str">
        <f t="array" ref="S29">IFERROR(IF(COUNTIFS(할일표[날짜],R$27,할일표[업무],"&lt;&gt;")&lt;2,"",INDEX(할일표[표시],SMALL(IF((할일표[날짜]=R$27)*(할일표[업무]&lt;&gt;""),ROW(할일표[표시])-ROW(INDEX(할일표[표시],1))+1),2))),"")</f>
        <v/>
      </c>
      <c r="T29" s="80" t="str">
        <f t="array" ref="T29">IFERROR(IF(COUNTIFS(할일표[날짜],R$27,할일표[업무],"&lt;&gt;")&lt;2,"",INDEX(할일표[업무],SMALL(IF((할일표[날짜]=R$27)*(할일표[업무]&lt;&gt;""),ROW(할일표[날짜])-피벗!$T$11),2))),"")</f>
        <v/>
      </c>
      <c r="U29" s="76" t="str">
        <f t="array" ref="U29">IFERROR(IF(COUNTIFS(할일표[날짜],R$27,할일표[업무],"&lt;&gt;")&lt;2,"",INDEX(할일표[진행률],SMALL(IF((할일표[날짜]=R$27)*(할일표[업무]&lt;&gt;""),ROW(할일표[날짜])-피벗!$T$11),2))),"")</f>
        <v/>
      </c>
      <c r="V29" s="74" t="str">
        <f t="array" ref="V29">IFERROR(IF(COUNTIFS(할일표[날짜],V$27,할일표[업무],"&lt;&gt;")&lt;2,"",INDEX(구분표[아이콘],MATCH(INDEX(할일표[구분],SMALL(IF((할일표[날짜]=V$27)*(할일표[업무]&lt;&gt;""),ROW(할일표[구분])-ROW(INDEX(할일표[구분],1))+1),2)),구분표[구분],0))),"")</f>
        <v/>
      </c>
      <c r="W29" s="75" t="str">
        <f t="array" ref="W29">IFERROR(IF(COUNTIFS(할일표[날짜],V$27,할일표[업무],"&lt;&gt;")&lt;2,"",INDEX(할일표[표시],SMALL(IF((할일표[날짜]=V$27)*(할일표[업무]&lt;&gt;""),ROW(할일표[표시])-ROW(INDEX(할일표[표시],1))+1),2))),"")</f>
        <v/>
      </c>
      <c r="X29" s="80" t="str">
        <f t="array" ref="X29">IFERROR(IF(COUNTIFS(할일표[날짜],V$27,할일표[업무],"&lt;&gt;")&lt;2,"",INDEX(할일표[업무],SMALL(IF((할일표[날짜]=V$27)*(할일표[업무]&lt;&gt;""),ROW(할일표[날짜])-피벗!$T$11),2))),"")</f>
        <v/>
      </c>
      <c r="Y29" s="76" t="str">
        <f t="array" ref="Y29">IFERROR(IF(COUNTIFS(할일표[날짜],V$27,할일표[업무],"&lt;&gt;")&lt;2,"",INDEX(할일표[진행률],SMALL(IF((할일표[날짜]=V$27)*(할일표[업무]&lt;&gt;""),ROW(할일표[날짜])-피벗!$T$11),2))),"")</f>
        <v/>
      </c>
      <c r="Z29" s="74" t="str">
        <f t="array" ref="Z29">IFERROR(IF(COUNTIFS(할일표[날짜],Z$27,할일표[업무],"&lt;&gt;")&lt;2,"",INDEX(구분표[아이콘],MATCH(INDEX(할일표[구분],SMALL(IF((할일표[날짜]=Z$27)*(할일표[업무]&lt;&gt;""),ROW(할일표[구분])-ROW(INDEX(할일표[구분],1))+1),2)),구분표[구분],0))),"")</f>
        <v/>
      </c>
      <c r="AA29" s="75" t="str">
        <f t="array" ref="AA29">IFERROR(IF(COUNTIFS(할일표[날짜],Z$27,할일표[업무],"&lt;&gt;")&lt;2,"",INDEX(할일표[표시],SMALL(IF((할일표[날짜]=Z$27)*(할일표[업무]&lt;&gt;""),ROW(할일표[표시])-ROW(INDEX(할일표[표시],1))+1),2))),"")</f>
        <v/>
      </c>
      <c r="AB29" s="80" t="str">
        <f t="array" ref="AB29">IFERROR(IF(COUNTIFS(할일표[날짜],Z$27,할일표[업무],"&lt;&gt;")&lt;2,"",INDEX(할일표[업무],SMALL(IF((할일표[날짜]=Z$27)*(할일표[업무]&lt;&gt;""),ROW(할일표[날짜])-피벗!$T$11),2))),"")</f>
        <v/>
      </c>
      <c r="AC29" s="76" t="str">
        <f t="array" ref="AC29">IFERROR(IF(COUNTIFS(할일표[날짜],Z$27,할일표[업무],"&lt;&gt;")&lt;2,"",INDEX(할일표[진행률],SMALL(IF((할일표[날짜]=Z$27)*(할일표[업무]&lt;&gt;""),ROW(할일표[날짜])-피벗!$T$11),2))),"")</f>
        <v/>
      </c>
    </row>
    <row r="30" spans="2:43" s="48" customFormat="1" ht="21" customHeight="1" x14ac:dyDescent="0.45">
      <c r="B30" s="74" t="str">
        <f t="array" ref="B30">IFERROR(IF(COUNTIFS(할일표[날짜],B$27,할일표[업무],"&lt;&gt;")&lt;3,"",INDEX(구분표[아이콘],MATCH(INDEX(할일표[구분],SMALL(IF((할일표[날짜]=B$27)*(할일표[업무]&lt;&gt;""),ROW(할일표[구분])-ROW(INDEX(할일표[구분],1))+1),3)),구분표[구분],0))),"")</f>
        <v/>
      </c>
      <c r="C30" s="75" t="str">
        <f t="array" ref="C30">IFERROR(IF(COUNTIFS(할일표[날짜],B$27,할일표[업무],"&lt;&gt;")&lt;3,"",INDEX(할일표[표시],SMALL(IF((할일표[날짜]=B$27)*(할일표[업무]&lt;&gt;""),ROW(할일표[표시])-ROW(INDEX(할일표[표시],1))+1),3))),"")</f>
        <v/>
      </c>
      <c r="D30" s="80" t="str">
        <f t="array" ref="D30">IFERROR(IF(COUNTIFS(할일표[날짜],B$27,할일표[업무],"&lt;&gt;")&lt;3,"",INDEX(할일표[업무],SMALL(IF((할일표[날짜]=B$27)*(할일표[업무]&lt;&gt;""),ROW(할일표[날짜])-피벗!$T$11),3))),"")</f>
        <v/>
      </c>
      <c r="E30" s="76" t="str">
        <f t="array" ref="E30">IFERROR(IF(COUNTIFS(할일표[날짜],B$27,할일표[업무],"&lt;&gt;")&lt;3,"",INDEX(할일표[진행률],SMALL(IF((할일표[날짜]=B$27)*(할일표[업무]&lt;&gt;""),ROW(할일표[날짜])-피벗!$T$11),3))),"")</f>
        <v/>
      </c>
      <c r="F30" s="74" t="str">
        <f t="array" ref="F30">IFERROR(IF(COUNTIFS(할일표[날짜],F$27,할일표[업무],"&lt;&gt;")&lt;3,"",INDEX(구분표[아이콘],MATCH(INDEX(할일표[구분],SMALL(IF((할일표[날짜]=F$27)*(할일표[업무]&lt;&gt;""),ROW(할일표[구분])-ROW(INDEX(할일표[구분],1))+1),3)),구분표[구분],0))),"")</f>
        <v/>
      </c>
      <c r="G30" s="75" t="str">
        <f t="array" ref="G30">IFERROR(IF(COUNTIFS(할일표[날짜],F$27,할일표[업무],"&lt;&gt;")&lt;3,"",INDEX(할일표[표시],SMALL(IF((할일표[날짜]=F$27)*(할일표[업무]&lt;&gt;""),ROW(할일표[표시])-ROW(INDEX(할일표[표시],1))+1),3))),"")</f>
        <v/>
      </c>
      <c r="H30" s="80" t="str">
        <f t="array" ref="H30">IFERROR(IF(COUNTIFS(할일표[날짜],F$27,할일표[업무],"&lt;&gt;")&lt;3,"",INDEX(할일표[업무],SMALL(IF((할일표[날짜]=F$27)*(할일표[업무]&lt;&gt;""),ROW(할일표[날짜])-피벗!$T$11),3))),"")</f>
        <v/>
      </c>
      <c r="I30" s="76" t="str">
        <f t="array" ref="I30">IFERROR(IF(COUNTIFS(할일표[날짜],F$27,할일표[업무],"&lt;&gt;")&lt;3,"",INDEX(할일표[진행률],SMALL(IF((할일표[날짜]=F$27)*(할일표[업무]&lt;&gt;""),ROW(할일표[날짜])-피벗!$T$11),3))),"")</f>
        <v/>
      </c>
      <c r="J30" s="74" t="str">
        <f t="array" ref="J30">IFERROR(IF(COUNTIFS(할일표[날짜],J$27,할일표[업무],"&lt;&gt;")&lt;3,"",INDEX(구분표[아이콘],MATCH(INDEX(할일표[구분],SMALL(IF((할일표[날짜]=J$27)*(할일표[업무]&lt;&gt;""),ROW(할일표[구분])-ROW(INDEX(할일표[구분],1))+1),3)),구분표[구분],0))),"")</f>
        <v/>
      </c>
      <c r="K30" s="75" t="str">
        <f t="array" ref="K30">IFERROR(IF(COUNTIFS(할일표[날짜],J$27,할일표[업무],"&lt;&gt;")&lt;3,"",INDEX(할일표[표시],SMALL(IF((할일표[날짜]=J$27)*(할일표[업무]&lt;&gt;""),ROW(할일표[표시])-ROW(INDEX(할일표[표시],1))+1),3))),"")</f>
        <v/>
      </c>
      <c r="L30" s="80" t="str">
        <f t="array" ref="L30">IFERROR(IF(COUNTIFS(할일표[날짜],J$27,할일표[업무],"&lt;&gt;")&lt;3,"",INDEX(할일표[업무],SMALL(IF((할일표[날짜]=J$27)*(할일표[업무]&lt;&gt;""),ROW(할일표[날짜])-피벗!$T$11),3))),"")</f>
        <v/>
      </c>
      <c r="M30" s="76" t="str">
        <f t="array" ref="M30">IFERROR(IF(COUNTIFS(할일표[날짜],J$27,할일표[업무],"&lt;&gt;")&lt;3,"",INDEX(할일표[진행률],SMALL(IF((할일표[날짜]=J$27)*(할일표[업무]&lt;&gt;""),ROW(할일표[날짜])-피벗!$T$11),3))),"")</f>
        <v/>
      </c>
      <c r="N30" s="74" t="str">
        <f t="array" ref="N30">IFERROR(IF(COUNTIFS(할일표[날짜],N$27,할일표[업무],"&lt;&gt;")&lt;3,"",INDEX(구분표[아이콘],MATCH(INDEX(할일표[구분],SMALL(IF((할일표[날짜]=N$27)*(할일표[업무]&lt;&gt;""),ROW(할일표[구분])-ROW(INDEX(할일표[구분],1))+1),3)),구분표[구분],0))),"")</f>
        <v/>
      </c>
      <c r="O30" s="75" t="str">
        <f t="array" ref="O30">IFERROR(IF(COUNTIFS(할일표[날짜],N$27,할일표[업무],"&lt;&gt;")&lt;3,"",INDEX(할일표[표시],SMALL(IF((할일표[날짜]=N$27)*(할일표[업무]&lt;&gt;""),ROW(할일표[표시])-ROW(INDEX(할일표[표시],1))+1),3))),"")</f>
        <v/>
      </c>
      <c r="P30" s="80" t="str">
        <f t="array" ref="P30">IFERROR(IF(COUNTIFS(할일표[날짜],N$27,할일표[업무],"&lt;&gt;")&lt;3,"",INDEX(할일표[업무],SMALL(IF((할일표[날짜]=N$27)*(할일표[업무]&lt;&gt;""),ROW(할일표[날짜])-피벗!$T$11),3))),"")</f>
        <v/>
      </c>
      <c r="Q30" s="76" t="str">
        <f t="array" ref="Q30">IFERROR(IF(COUNTIFS(할일표[날짜],N$27,할일표[업무],"&lt;&gt;")&lt;3,"",INDEX(할일표[진행률],SMALL(IF((할일표[날짜]=N$27)*(할일표[업무]&lt;&gt;""),ROW(할일표[날짜])-피벗!$T$11),3))),"")</f>
        <v/>
      </c>
      <c r="R30" s="74" t="str">
        <f t="array" ref="R30">IFERROR(IF(COUNTIFS(할일표[날짜],R$27,할일표[업무],"&lt;&gt;")&lt;3,"",INDEX(구분표[아이콘],MATCH(INDEX(할일표[구분],SMALL(IF((할일표[날짜]=R$27)*(할일표[업무]&lt;&gt;""),ROW(할일표[구분])-ROW(INDEX(할일표[구분],1))+1),3)),구분표[구분],0))),"")</f>
        <v/>
      </c>
      <c r="S30" s="75" t="str">
        <f t="array" ref="S30">IFERROR(IF(COUNTIFS(할일표[날짜],R$27,할일표[업무],"&lt;&gt;")&lt;3,"",INDEX(할일표[표시],SMALL(IF((할일표[날짜]=R$27)*(할일표[업무]&lt;&gt;""),ROW(할일표[표시])-ROW(INDEX(할일표[표시],1))+1),3))),"")</f>
        <v/>
      </c>
      <c r="T30" s="80" t="str">
        <f t="array" ref="T30">IFERROR(IF(COUNTIFS(할일표[날짜],R$27,할일표[업무],"&lt;&gt;")&lt;3,"",INDEX(할일표[업무],SMALL(IF((할일표[날짜]=R$27)*(할일표[업무]&lt;&gt;""),ROW(할일표[날짜])-피벗!$T$11),3))),"")</f>
        <v/>
      </c>
      <c r="U30" s="76" t="str">
        <f t="array" ref="U30">IFERROR(IF(COUNTIFS(할일표[날짜],R$27,할일표[업무],"&lt;&gt;")&lt;3,"",INDEX(할일표[진행률],SMALL(IF((할일표[날짜]=R$27)*(할일표[업무]&lt;&gt;""),ROW(할일표[날짜])-피벗!$T$11),3))),"")</f>
        <v/>
      </c>
      <c r="V30" s="74" t="str">
        <f t="array" ref="V30">IFERROR(IF(COUNTIFS(할일표[날짜],V$27,할일표[업무],"&lt;&gt;")&lt;3,"",INDEX(구분표[아이콘],MATCH(INDEX(할일표[구분],SMALL(IF((할일표[날짜]=V$27)*(할일표[업무]&lt;&gt;""),ROW(할일표[구분])-ROW(INDEX(할일표[구분],1))+1),3)),구분표[구분],0))),"")</f>
        <v/>
      </c>
      <c r="W30" s="75" t="str">
        <f t="array" ref="W30">IFERROR(IF(COUNTIFS(할일표[날짜],V$27,할일표[업무],"&lt;&gt;")&lt;3,"",INDEX(할일표[표시],SMALL(IF((할일표[날짜]=V$27)*(할일표[업무]&lt;&gt;""),ROW(할일표[표시])-ROW(INDEX(할일표[표시],1))+1),3))),"")</f>
        <v/>
      </c>
      <c r="X30" s="80" t="str">
        <f t="array" ref="X30">IFERROR(IF(COUNTIFS(할일표[날짜],V$27,할일표[업무],"&lt;&gt;")&lt;3,"",INDEX(할일표[업무],SMALL(IF((할일표[날짜]=V$27)*(할일표[업무]&lt;&gt;""),ROW(할일표[날짜])-피벗!$T$11),3))),"")</f>
        <v/>
      </c>
      <c r="Y30" s="76" t="str">
        <f t="array" ref="Y30">IFERROR(IF(COUNTIFS(할일표[날짜],V$27,할일표[업무],"&lt;&gt;")&lt;3,"",INDEX(할일표[진행률],SMALL(IF((할일표[날짜]=V$27)*(할일표[업무]&lt;&gt;""),ROW(할일표[날짜])-피벗!$T$11),3))),"")</f>
        <v/>
      </c>
      <c r="Z30" s="74" t="str">
        <f t="array" ref="Z30">IFERROR(IF(COUNTIFS(할일표[날짜],Z$27,할일표[업무],"&lt;&gt;")&lt;3,"",INDEX(구분표[아이콘],MATCH(INDEX(할일표[구분],SMALL(IF((할일표[날짜]=Z$27)*(할일표[업무]&lt;&gt;""),ROW(할일표[구분])-ROW(INDEX(할일표[구분],1))+1),3)),구분표[구분],0))),"")</f>
        <v/>
      </c>
      <c r="AA30" s="75" t="str">
        <f t="array" ref="AA30">IFERROR(IF(COUNTIFS(할일표[날짜],Z$27,할일표[업무],"&lt;&gt;")&lt;3,"",INDEX(할일표[표시],SMALL(IF((할일표[날짜]=Z$27)*(할일표[업무]&lt;&gt;""),ROW(할일표[표시])-ROW(INDEX(할일표[표시],1))+1),3))),"")</f>
        <v/>
      </c>
      <c r="AB30" s="80" t="str">
        <f t="array" ref="AB30">IFERROR(IF(COUNTIFS(할일표[날짜],Z$27,할일표[업무],"&lt;&gt;")&lt;3,"",INDEX(할일표[업무],SMALL(IF((할일표[날짜]=Z$27)*(할일표[업무]&lt;&gt;""),ROW(할일표[날짜])-피벗!$T$11),3))),"")</f>
        <v/>
      </c>
      <c r="AC30" s="76" t="str">
        <f t="array" ref="AC30">IFERROR(IF(COUNTIFS(할일표[날짜],Z$27,할일표[업무],"&lt;&gt;")&lt;3,"",INDEX(할일표[진행률],SMALL(IF((할일표[날짜]=Z$27)*(할일표[업무]&lt;&gt;""),ROW(할일표[날짜])-피벗!$T$11),3))),"")</f>
        <v/>
      </c>
    </row>
    <row r="31" spans="2:43" s="48" customFormat="1" ht="21" customHeight="1" x14ac:dyDescent="0.45">
      <c r="B31" s="74" t="str">
        <f t="array" ref="B31">IFERROR(IF(COUNTIFS(할일표[날짜],B$27,할일표[업무],"&lt;&gt;")&lt;4,"",INDEX(구분표[아이콘],MATCH(INDEX(할일표[구분],SMALL(IF((할일표[날짜]=B$27)*(할일표[업무]&lt;&gt;""),ROW(할일표[구분])-ROW(INDEX(할일표[구분],1))+1),4)),구분표[구분],0))),"")</f>
        <v/>
      </c>
      <c r="C31" s="75" t="str">
        <f t="array" ref="C31">IFERROR(IF(COUNTIFS(할일표[날짜],B$27,할일표[업무],"&lt;&gt;")&lt;4,"",INDEX(할일표[표시],SMALL(IF((할일표[날짜]=B$27)*(할일표[업무]&lt;&gt;""),ROW(할일표[표시])-ROW(INDEX(할일표[표시],1))+1),4))),"")</f>
        <v/>
      </c>
      <c r="D31" s="80" t="str">
        <f t="array" ref="D31">IFERROR(IF(COUNTIFS(할일표[날짜],B$27,할일표[업무],"&lt;&gt;")&lt;4,"",INDEX(할일표[업무],SMALL(IF((할일표[날짜]=B$27)*(할일표[업무]&lt;&gt;""),ROW(할일표[날짜])-피벗!$T$11),4))),"")</f>
        <v/>
      </c>
      <c r="E31" s="76" t="str">
        <f t="array" ref="E31">IFERROR(IF(COUNTIFS(할일표[날짜],B$27,할일표[업무],"&lt;&gt;")&lt;4,"",INDEX(할일표[진행률],SMALL(IF((할일표[날짜]=B$27)*(할일표[업무]&lt;&gt;""),ROW(할일표[날짜])-피벗!$T$11),4))),"")</f>
        <v/>
      </c>
      <c r="F31" s="74" t="str">
        <f t="array" ref="F31">IFERROR(IF(COUNTIFS(할일표[날짜],F$27,할일표[업무],"&lt;&gt;")&lt;4,"",INDEX(구분표[아이콘],MATCH(INDEX(할일표[구분],SMALL(IF((할일표[날짜]=F$27)*(할일표[업무]&lt;&gt;""),ROW(할일표[구분])-ROW(INDEX(할일표[구분],1))+1),4)),구분표[구분],0))),"")</f>
        <v/>
      </c>
      <c r="G31" s="75" t="str">
        <f t="array" ref="G31">IFERROR(IF(COUNTIFS(할일표[날짜],F$27,할일표[업무],"&lt;&gt;")&lt;4,"",INDEX(할일표[표시],SMALL(IF((할일표[날짜]=F$27)*(할일표[업무]&lt;&gt;""),ROW(할일표[표시])-ROW(INDEX(할일표[표시],1))+1),4))),"")</f>
        <v/>
      </c>
      <c r="H31" s="80" t="str">
        <f t="array" ref="H31">IFERROR(IF(COUNTIFS(할일표[날짜],F$27,할일표[업무],"&lt;&gt;")&lt;4,"",INDEX(할일표[업무],SMALL(IF((할일표[날짜]=F$27)*(할일표[업무]&lt;&gt;""),ROW(할일표[날짜])-피벗!$T$11),4))),"")</f>
        <v/>
      </c>
      <c r="I31" s="76" t="str">
        <f t="array" ref="I31">IFERROR(IF(COUNTIFS(할일표[날짜],F$27,할일표[업무],"&lt;&gt;")&lt;4,"",INDEX(할일표[진행률],SMALL(IF((할일표[날짜]=F$27)*(할일표[업무]&lt;&gt;""),ROW(할일표[날짜])-피벗!$T$11),4))),"")</f>
        <v/>
      </c>
      <c r="J31" s="74" t="str">
        <f t="array" ref="J31">IFERROR(IF(COUNTIFS(할일표[날짜],J$27,할일표[업무],"&lt;&gt;")&lt;4,"",INDEX(구분표[아이콘],MATCH(INDEX(할일표[구분],SMALL(IF((할일표[날짜]=J$27)*(할일표[업무]&lt;&gt;""),ROW(할일표[구분])-ROW(INDEX(할일표[구분],1))+1),4)),구분표[구분],0))),"")</f>
        <v/>
      </c>
      <c r="K31" s="75" t="str">
        <f t="array" ref="K31">IFERROR(IF(COUNTIFS(할일표[날짜],J$27,할일표[업무],"&lt;&gt;")&lt;4,"",INDEX(할일표[표시],SMALL(IF((할일표[날짜]=J$27)*(할일표[업무]&lt;&gt;""),ROW(할일표[표시])-ROW(INDEX(할일표[표시],1))+1),4))),"")</f>
        <v/>
      </c>
      <c r="L31" s="80" t="str">
        <f t="array" ref="L31">IFERROR(IF(COUNTIFS(할일표[날짜],J$27,할일표[업무],"&lt;&gt;")&lt;4,"",INDEX(할일표[업무],SMALL(IF((할일표[날짜]=J$27)*(할일표[업무]&lt;&gt;""),ROW(할일표[날짜])-피벗!$T$11),4))),"")</f>
        <v/>
      </c>
      <c r="M31" s="76" t="str">
        <f t="array" ref="M31">IFERROR(IF(COUNTIFS(할일표[날짜],J$27,할일표[업무],"&lt;&gt;")&lt;4,"",INDEX(할일표[진행률],SMALL(IF((할일표[날짜]=J$27)*(할일표[업무]&lt;&gt;""),ROW(할일표[날짜])-피벗!$T$11),4))),"")</f>
        <v/>
      </c>
      <c r="N31" s="74" t="str">
        <f t="array" ref="N31">IFERROR(IF(COUNTIFS(할일표[날짜],N$27,할일표[업무],"&lt;&gt;")&lt;4,"",INDEX(구분표[아이콘],MATCH(INDEX(할일표[구분],SMALL(IF((할일표[날짜]=N$27)*(할일표[업무]&lt;&gt;""),ROW(할일표[구분])-ROW(INDEX(할일표[구분],1))+1),4)),구분표[구분],0))),"")</f>
        <v/>
      </c>
      <c r="O31" s="75" t="str">
        <f t="array" ref="O31">IFERROR(IF(COUNTIFS(할일표[날짜],N$27,할일표[업무],"&lt;&gt;")&lt;4,"",INDEX(할일표[표시],SMALL(IF((할일표[날짜]=N$27)*(할일표[업무]&lt;&gt;""),ROW(할일표[표시])-ROW(INDEX(할일표[표시],1))+1),4))),"")</f>
        <v/>
      </c>
      <c r="P31" s="80" t="str">
        <f t="array" ref="P31">IFERROR(IF(COUNTIFS(할일표[날짜],N$27,할일표[업무],"&lt;&gt;")&lt;4,"",INDEX(할일표[업무],SMALL(IF((할일표[날짜]=N$27)*(할일표[업무]&lt;&gt;""),ROW(할일표[날짜])-피벗!$T$11),4))),"")</f>
        <v/>
      </c>
      <c r="Q31" s="76" t="str">
        <f t="array" ref="Q31">IFERROR(IF(COUNTIFS(할일표[날짜],N$27,할일표[업무],"&lt;&gt;")&lt;4,"",INDEX(할일표[진행률],SMALL(IF((할일표[날짜]=N$27)*(할일표[업무]&lt;&gt;""),ROW(할일표[날짜])-피벗!$T$11),4))),"")</f>
        <v/>
      </c>
      <c r="R31" s="74" t="str">
        <f t="array" ref="R31">IFERROR(IF(COUNTIFS(할일표[날짜],R$27,할일표[업무],"&lt;&gt;")&lt;4,"",INDEX(구분표[아이콘],MATCH(INDEX(할일표[구분],SMALL(IF((할일표[날짜]=R$27)*(할일표[업무]&lt;&gt;""),ROW(할일표[구분])-ROW(INDEX(할일표[구분],1))+1),4)),구분표[구분],0))),"")</f>
        <v/>
      </c>
      <c r="S31" s="75" t="str">
        <f t="array" ref="S31">IFERROR(IF(COUNTIFS(할일표[날짜],R$27,할일표[업무],"&lt;&gt;")&lt;4,"",INDEX(할일표[표시],SMALL(IF((할일표[날짜]=R$27)*(할일표[업무]&lt;&gt;""),ROW(할일표[표시])-ROW(INDEX(할일표[표시],1))+1),4))),"")</f>
        <v/>
      </c>
      <c r="T31" s="80" t="str">
        <f t="array" ref="T31">IFERROR(IF(COUNTIFS(할일표[날짜],R$27,할일표[업무],"&lt;&gt;")&lt;4,"",INDEX(할일표[업무],SMALL(IF((할일표[날짜]=R$27)*(할일표[업무]&lt;&gt;""),ROW(할일표[날짜])-피벗!$T$11),4))),"")</f>
        <v/>
      </c>
      <c r="U31" s="76" t="str">
        <f t="array" ref="U31">IFERROR(IF(COUNTIFS(할일표[날짜],R$27,할일표[업무],"&lt;&gt;")&lt;4,"",INDEX(할일표[진행률],SMALL(IF((할일표[날짜]=R$27)*(할일표[업무]&lt;&gt;""),ROW(할일표[날짜])-피벗!$T$11),4))),"")</f>
        <v/>
      </c>
      <c r="V31" s="74" t="str">
        <f t="array" ref="V31">IFERROR(IF(COUNTIFS(할일표[날짜],V$27,할일표[업무],"&lt;&gt;")&lt;4,"",INDEX(구분표[아이콘],MATCH(INDEX(할일표[구분],SMALL(IF((할일표[날짜]=V$27)*(할일표[업무]&lt;&gt;""),ROW(할일표[구분])-ROW(INDEX(할일표[구분],1))+1),4)),구분표[구분],0))),"")</f>
        <v/>
      </c>
      <c r="W31" s="75" t="str">
        <f t="array" ref="W31">IFERROR(IF(COUNTIFS(할일표[날짜],V$27,할일표[업무],"&lt;&gt;")&lt;4,"",INDEX(할일표[표시],SMALL(IF((할일표[날짜]=V$27)*(할일표[업무]&lt;&gt;""),ROW(할일표[표시])-ROW(INDEX(할일표[표시],1))+1),4))),"")</f>
        <v/>
      </c>
      <c r="X31" s="80" t="str">
        <f t="array" ref="X31">IFERROR(IF(COUNTIFS(할일표[날짜],V$27,할일표[업무],"&lt;&gt;")&lt;4,"",INDEX(할일표[업무],SMALL(IF((할일표[날짜]=V$27)*(할일표[업무]&lt;&gt;""),ROW(할일표[날짜])-피벗!$T$11),4))),"")</f>
        <v/>
      </c>
      <c r="Y31" s="76" t="str">
        <f t="array" ref="Y31">IFERROR(IF(COUNTIFS(할일표[날짜],V$27,할일표[업무],"&lt;&gt;")&lt;4,"",INDEX(할일표[진행률],SMALL(IF((할일표[날짜]=V$27)*(할일표[업무]&lt;&gt;""),ROW(할일표[날짜])-피벗!$T$11),4))),"")</f>
        <v/>
      </c>
      <c r="Z31" s="74" t="str">
        <f t="array" ref="Z31">IFERROR(IF(COUNTIFS(할일표[날짜],Z$27,할일표[업무],"&lt;&gt;")&lt;4,"",INDEX(구분표[아이콘],MATCH(INDEX(할일표[구분],SMALL(IF((할일표[날짜]=Z$27)*(할일표[업무]&lt;&gt;""),ROW(할일표[구분])-ROW(INDEX(할일표[구분],1))+1),4)),구분표[구분],0))),"")</f>
        <v/>
      </c>
      <c r="AA31" s="75" t="str">
        <f t="array" ref="AA31">IFERROR(IF(COUNTIFS(할일표[날짜],Z$27,할일표[업무],"&lt;&gt;")&lt;4,"",INDEX(할일표[표시],SMALL(IF((할일표[날짜]=Z$27)*(할일표[업무]&lt;&gt;""),ROW(할일표[표시])-ROW(INDEX(할일표[표시],1))+1),4))),"")</f>
        <v/>
      </c>
      <c r="AB31" s="80" t="str">
        <f t="array" ref="AB31">IFERROR(IF(COUNTIFS(할일표[날짜],Z$27,할일표[업무],"&lt;&gt;")&lt;4,"",INDEX(할일표[업무],SMALL(IF((할일표[날짜]=Z$27)*(할일표[업무]&lt;&gt;""),ROW(할일표[날짜])-피벗!$T$11),4))),"")</f>
        <v/>
      </c>
      <c r="AC31" s="76" t="str">
        <f t="array" ref="AC31">IFERROR(IF(COUNTIFS(할일표[날짜],Z$27,할일표[업무],"&lt;&gt;")&lt;4,"",INDEX(할일표[진행률],SMALL(IF((할일표[날짜]=Z$27)*(할일표[업무]&lt;&gt;""),ROW(할일표[날짜])-피벗!$T$11),4))),"")</f>
        <v/>
      </c>
    </row>
    <row r="32" spans="2:43" s="48" customFormat="1" ht="21" customHeight="1" x14ac:dyDescent="0.45">
      <c r="B32" s="74" t="str">
        <f t="array" ref="B32">IFERROR(IF(COUNTIFS(할일표[날짜],B$27,할일표[업무],"&lt;&gt;")&lt;5,"",INDEX(구분표[아이콘],MATCH(INDEX(할일표[구분],SMALL(IF((할일표[날짜]=B$27)*(할일표[업무]&lt;&gt;""),ROW(할일표[구분])-ROW(INDEX(할일표[구분],1))+1),5)),구분표[구분],0))),"")</f>
        <v/>
      </c>
      <c r="C32" s="75" t="str">
        <f t="array" ref="C32">IFERROR(IF(COUNTIFS(할일표[날짜],B$27,할일표[업무],"&lt;&gt;")&lt;5,"",INDEX(할일표[표시],SMALL(IF((할일표[날짜]=B$27)*(할일표[업무]&lt;&gt;""),ROW(할일표[표시])-ROW(INDEX(할일표[표시],1))+1),5))),"")</f>
        <v/>
      </c>
      <c r="D32" s="80" t="str">
        <f t="array" ref="D32">IFERROR(IF(COUNTIFS(할일표[날짜],B$27,할일표[업무],"&lt;&gt;")&lt;5,"",INDEX(할일표[업무],SMALL(IF((할일표[날짜]=B$27)*(할일표[업무]&lt;&gt;""),ROW(할일표[날짜])-피벗!$T$11),5))),"")</f>
        <v/>
      </c>
      <c r="E32" s="76" t="str">
        <f t="array" ref="E32">IFERROR(IF(COUNTIFS(할일표[날짜],B$27,할일표[업무],"&lt;&gt;")&lt;5,"",INDEX(할일표[진행률],SMALL(IF((할일표[날짜]=B$27)*(할일표[업무]&lt;&gt;""),ROW(할일표[날짜])-피벗!$T$11),5))),"")</f>
        <v/>
      </c>
      <c r="F32" s="74" t="str">
        <f t="array" ref="F32">IFERROR(IF(COUNTIFS(할일표[날짜],F$27,할일표[업무],"&lt;&gt;")&lt;5,"",INDEX(구분표[아이콘],MATCH(INDEX(할일표[구분],SMALL(IF((할일표[날짜]=F$27)*(할일표[업무]&lt;&gt;""),ROW(할일표[구분])-ROW(INDEX(할일표[구분],1))+1),5)),구분표[구분],0))),"")</f>
        <v/>
      </c>
      <c r="G32" s="75" t="str">
        <f t="array" ref="G32">IFERROR(IF(COUNTIFS(할일표[날짜],F$27,할일표[업무],"&lt;&gt;")&lt;5,"",INDEX(할일표[표시],SMALL(IF((할일표[날짜]=F$27)*(할일표[업무]&lt;&gt;""),ROW(할일표[표시])-ROW(INDEX(할일표[표시],1))+1),5))),"")</f>
        <v/>
      </c>
      <c r="H32" s="80" t="str">
        <f t="array" ref="H32">IFERROR(IF(COUNTIFS(할일표[날짜],F$27,할일표[업무],"&lt;&gt;")&lt;5,"",INDEX(할일표[업무],SMALL(IF((할일표[날짜]=F$27)*(할일표[업무]&lt;&gt;""),ROW(할일표[날짜])-피벗!$T$11),5))),"")</f>
        <v/>
      </c>
      <c r="I32" s="76" t="str">
        <f t="array" ref="I32">IFERROR(IF(COUNTIFS(할일표[날짜],F$27,할일표[업무],"&lt;&gt;")&lt;5,"",INDEX(할일표[진행률],SMALL(IF((할일표[날짜]=F$27)*(할일표[업무]&lt;&gt;""),ROW(할일표[날짜])-피벗!$T$11),5))),"")</f>
        <v/>
      </c>
      <c r="J32" s="74" t="str">
        <f t="array" ref="J32">IFERROR(IF(COUNTIFS(할일표[날짜],J$27,할일표[업무],"&lt;&gt;")&lt;5,"",INDEX(구분표[아이콘],MATCH(INDEX(할일표[구분],SMALL(IF((할일표[날짜]=J$27)*(할일표[업무]&lt;&gt;""),ROW(할일표[구분])-ROW(INDEX(할일표[구분],1))+1),5)),구분표[구분],0))),"")</f>
        <v/>
      </c>
      <c r="K32" s="75" t="str">
        <f t="array" ref="K32">IFERROR(IF(COUNTIFS(할일표[날짜],J$27,할일표[업무],"&lt;&gt;")&lt;5,"",INDEX(할일표[표시],SMALL(IF((할일표[날짜]=J$27)*(할일표[업무]&lt;&gt;""),ROW(할일표[표시])-ROW(INDEX(할일표[표시],1))+1),5))),"")</f>
        <v/>
      </c>
      <c r="L32" s="80" t="str">
        <f t="array" ref="L32">IFERROR(IF(COUNTIFS(할일표[날짜],J$27,할일표[업무],"&lt;&gt;")&lt;5,"",INDEX(할일표[업무],SMALL(IF((할일표[날짜]=J$27)*(할일표[업무]&lt;&gt;""),ROW(할일표[날짜])-피벗!$T$11),5))),"")</f>
        <v/>
      </c>
      <c r="M32" s="76" t="str">
        <f t="array" ref="M32">IFERROR(IF(COUNTIFS(할일표[날짜],J$27,할일표[업무],"&lt;&gt;")&lt;5,"",INDEX(할일표[진행률],SMALL(IF((할일표[날짜]=J$27)*(할일표[업무]&lt;&gt;""),ROW(할일표[날짜])-피벗!$T$11),5))),"")</f>
        <v/>
      </c>
      <c r="N32" s="74" t="str">
        <f t="array" ref="N32">IFERROR(IF(COUNTIFS(할일표[날짜],N$27,할일표[업무],"&lt;&gt;")&lt;5,"",INDEX(구분표[아이콘],MATCH(INDEX(할일표[구분],SMALL(IF((할일표[날짜]=N$27)*(할일표[업무]&lt;&gt;""),ROW(할일표[구분])-ROW(INDEX(할일표[구분],1))+1),5)),구분표[구분],0))),"")</f>
        <v/>
      </c>
      <c r="O32" s="75" t="str">
        <f t="array" ref="O32">IFERROR(IF(COUNTIFS(할일표[날짜],N$27,할일표[업무],"&lt;&gt;")&lt;5,"",INDEX(할일표[표시],SMALL(IF((할일표[날짜]=N$27)*(할일표[업무]&lt;&gt;""),ROW(할일표[표시])-ROW(INDEX(할일표[표시],1))+1),5))),"")</f>
        <v/>
      </c>
      <c r="P32" s="80" t="str">
        <f t="array" ref="P32">IFERROR(IF(COUNTIFS(할일표[날짜],N$27,할일표[업무],"&lt;&gt;")&lt;5,"",INDEX(할일표[업무],SMALL(IF((할일표[날짜]=N$27)*(할일표[업무]&lt;&gt;""),ROW(할일표[날짜])-피벗!$T$11),5))),"")</f>
        <v/>
      </c>
      <c r="Q32" s="76" t="str">
        <f t="array" ref="Q32">IFERROR(IF(COUNTIFS(할일표[날짜],N$27,할일표[업무],"&lt;&gt;")&lt;5,"",INDEX(할일표[진행률],SMALL(IF((할일표[날짜]=N$27)*(할일표[업무]&lt;&gt;""),ROW(할일표[날짜])-피벗!$T$11),5))),"")</f>
        <v/>
      </c>
      <c r="R32" s="74" t="str">
        <f t="array" ref="R32">IFERROR(IF(COUNTIFS(할일표[날짜],R$27,할일표[업무],"&lt;&gt;")&lt;5,"",INDEX(구분표[아이콘],MATCH(INDEX(할일표[구분],SMALL(IF((할일표[날짜]=R$27)*(할일표[업무]&lt;&gt;""),ROW(할일표[구분])-ROW(INDEX(할일표[구분],1))+1),5)),구분표[구분],0))),"")</f>
        <v/>
      </c>
      <c r="S32" s="75" t="str">
        <f t="array" ref="S32">IFERROR(IF(COUNTIFS(할일표[날짜],R$27,할일표[업무],"&lt;&gt;")&lt;5,"",INDEX(할일표[표시],SMALL(IF((할일표[날짜]=R$27)*(할일표[업무]&lt;&gt;""),ROW(할일표[표시])-ROW(INDEX(할일표[표시],1))+1),5))),"")</f>
        <v/>
      </c>
      <c r="T32" s="80" t="str">
        <f t="array" ref="T32">IFERROR(IF(COUNTIFS(할일표[날짜],R$27,할일표[업무],"&lt;&gt;")&lt;5,"",INDEX(할일표[업무],SMALL(IF((할일표[날짜]=R$27)*(할일표[업무]&lt;&gt;""),ROW(할일표[날짜])-피벗!$T$11),5))),"")</f>
        <v/>
      </c>
      <c r="U32" s="76" t="str">
        <f t="array" ref="U32">IFERROR(IF(COUNTIFS(할일표[날짜],R$27,할일표[업무],"&lt;&gt;")&lt;5,"",INDEX(할일표[진행률],SMALL(IF((할일표[날짜]=R$27)*(할일표[업무]&lt;&gt;""),ROW(할일표[날짜])-피벗!$T$11),5))),"")</f>
        <v/>
      </c>
      <c r="V32" s="74" t="str">
        <f t="array" ref="V32">IFERROR(IF(COUNTIFS(할일표[날짜],V$27,할일표[업무],"&lt;&gt;")&lt;5,"",INDEX(구분표[아이콘],MATCH(INDEX(할일표[구분],SMALL(IF((할일표[날짜]=V$27)*(할일표[업무]&lt;&gt;""),ROW(할일표[구분])-ROW(INDEX(할일표[구분],1))+1),5)),구분표[구분],0))),"")</f>
        <v/>
      </c>
      <c r="W32" s="75" t="str">
        <f t="array" ref="W32">IFERROR(IF(COUNTIFS(할일표[날짜],V$27,할일표[업무],"&lt;&gt;")&lt;5,"",INDEX(할일표[표시],SMALL(IF((할일표[날짜]=V$27)*(할일표[업무]&lt;&gt;""),ROW(할일표[표시])-ROW(INDEX(할일표[표시],1))+1),5))),"")</f>
        <v/>
      </c>
      <c r="X32" s="80" t="str">
        <f t="array" ref="X32">IFERROR(IF(COUNTIFS(할일표[날짜],V$27,할일표[업무],"&lt;&gt;")&lt;5,"",INDEX(할일표[업무],SMALL(IF((할일표[날짜]=V$27)*(할일표[업무]&lt;&gt;""),ROW(할일표[날짜])-피벗!$T$11),5))),"")</f>
        <v/>
      </c>
      <c r="Y32" s="76" t="str">
        <f t="array" ref="Y32">IFERROR(IF(COUNTIFS(할일표[날짜],V$27,할일표[업무],"&lt;&gt;")&lt;5,"",INDEX(할일표[진행률],SMALL(IF((할일표[날짜]=V$27)*(할일표[업무]&lt;&gt;""),ROW(할일표[날짜])-피벗!$T$11),5))),"")</f>
        <v/>
      </c>
      <c r="Z32" s="74" t="str">
        <f t="array" ref="Z32">IFERROR(IF(COUNTIFS(할일표[날짜],Z$27,할일표[업무],"&lt;&gt;")&lt;5,"",INDEX(구분표[아이콘],MATCH(INDEX(할일표[구분],SMALL(IF((할일표[날짜]=Z$27)*(할일표[업무]&lt;&gt;""),ROW(할일표[구분])-ROW(INDEX(할일표[구분],1))+1),5)),구분표[구분],0))),"")</f>
        <v/>
      </c>
      <c r="AA32" s="75" t="str">
        <f t="array" ref="AA32">IFERROR(IF(COUNTIFS(할일표[날짜],Z$27,할일표[업무],"&lt;&gt;")&lt;5,"",INDEX(할일표[표시],SMALL(IF((할일표[날짜]=Z$27)*(할일표[업무]&lt;&gt;""),ROW(할일표[표시])-ROW(INDEX(할일표[표시],1))+1),5))),"")</f>
        <v/>
      </c>
      <c r="AB32" s="80" t="str">
        <f t="array" ref="AB32">IFERROR(IF(COUNTIFS(할일표[날짜],Z$27,할일표[업무],"&lt;&gt;")&lt;5,"",INDEX(할일표[업무],SMALL(IF((할일표[날짜]=Z$27)*(할일표[업무]&lt;&gt;""),ROW(할일표[날짜])-피벗!$T$11),5))),"")</f>
        <v/>
      </c>
      <c r="AC32" s="76" t="str">
        <f t="array" ref="AC32">IFERROR(IF(COUNTIFS(할일표[날짜],Z$27,할일표[업무],"&lt;&gt;")&lt;5,"",INDEX(할일표[진행률],SMALL(IF((할일표[날짜]=Z$27)*(할일표[업무]&lt;&gt;""),ROW(할일표[날짜])-피벗!$T$11),5))),"")</f>
        <v/>
      </c>
    </row>
    <row r="33" spans="2:43" s="48" customFormat="1" ht="21" customHeight="1" x14ac:dyDescent="0.45">
      <c r="B33" s="74" t="str">
        <f t="array" ref="B33">IFERROR(IF(COUNTIFS(할일표[날짜],B$27,할일표[업무],"&lt;&gt;")&lt;6,"",INDEX(구분표[아이콘],MATCH(INDEX(할일표[구분],SMALL(IF((할일표[날짜]=B$27)*(할일표[업무]&lt;&gt;""),ROW(할일표[구분])-ROW(INDEX(할일표[구분],1))+1),6)),구분표[구분],0))),"")</f>
        <v/>
      </c>
      <c r="C33" s="75" t="str">
        <f t="array" ref="C33">IFERROR(IF(COUNTIFS(할일표[날짜],B$27,할일표[업무],"&lt;&gt;")&lt;6,"",INDEX(할일표[표시],SMALL(IF((할일표[날짜]=B$27)*(할일표[업무]&lt;&gt;""),ROW(할일표[표시])-ROW(INDEX(할일표[표시],1))+1),6))),"")</f>
        <v/>
      </c>
      <c r="D33" s="80" t="str">
        <f t="array" ref="D33">IFERROR(IF(COUNTIFS(할일표[날짜],B$27,할일표[업무],"&lt;&gt;")&lt;6,"",INDEX(할일표[업무],SMALL(IF((할일표[날짜]=B$27)*(할일표[업무]&lt;&gt;""),ROW(할일표[날짜])-피벗!$T$11),6))),"")</f>
        <v/>
      </c>
      <c r="E33" s="76" t="str">
        <f t="array" ref="E33">IFERROR(IF(COUNTIFS(할일표[날짜],B$27,할일표[업무],"&lt;&gt;")&lt;6,"",INDEX(할일표[진행률],SMALL(IF((할일표[날짜]=B$27)*(할일표[업무]&lt;&gt;""),ROW(할일표[날짜])-피벗!$T$11),6))),"")</f>
        <v/>
      </c>
      <c r="F33" s="74" t="str">
        <f t="array" ref="F33">IFERROR(IF(COUNTIFS(할일표[날짜],F$27,할일표[업무],"&lt;&gt;")&lt;6,"",INDEX(구분표[아이콘],MATCH(INDEX(할일표[구분],SMALL(IF((할일표[날짜]=F$27)*(할일표[업무]&lt;&gt;""),ROW(할일표[구분])-ROW(INDEX(할일표[구분],1))+1),6)),구분표[구분],0))),"")</f>
        <v/>
      </c>
      <c r="G33" s="75" t="str">
        <f t="array" ref="G33">IFERROR(IF(COUNTIFS(할일표[날짜],F$27,할일표[업무],"&lt;&gt;")&lt;6,"",INDEX(할일표[표시],SMALL(IF((할일표[날짜]=F$27)*(할일표[업무]&lt;&gt;""),ROW(할일표[표시])-ROW(INDEX(할일표[표시],1))+1),6))),"")</f>
        <v/>
      </c>
      <c r="H33" s="80" t="str">
        <f t="array" ref="H33">IFERROR(IF(COUNTIFS(할일표[날짜],F$27,할일표[업무],"&lt;&gt;")&lt;6,"",INDEX(할일표[업무],SMALL(IF((할일표[날짜]=F$27)*(할일표[업무]&lt;&gt;""),ROW(할일표[날짜])-피벗!$T$11),6))),"")</f>
        <v/>
      </c>
      <c r="I33" s="76" t="str">
        <f t="array" ref="I33">IFERROR(IF(COUNTIFS(할일표[날짜],F$27,할일표[업무],"&lt;&gt;")&lt;6,"",INDEX(할일표[진행률],SMALL(IF((할일표[날짜]=F$27)*(할일표[업무]&lt;&gt;""),ROW(할일표[날짜])-피벗!$T$11),6))),"")</f>
        <v/>
      </c>
      <c r="J33" s="74" t="str">
        <f t="array" ref="J33">IFERROR(IF(COUNTIFS(할일표[날짜],J$27,할일표[업무],"&lt;&gt;")&lt;6,"",INDEX(구분표[아이콘],MATCH(INDEX(할일표[구분],SMALL(IF((할일표[날짜]=J$27)*(할일표[업무]&lt;&gt;""),ROW(할일표[구분])-ROW(INDEX(할일표[구분],1))+1),6)),구분표[구분],0))),"")</f>
        <v/>
      </c>
      <c r="K33" s="75" t="str">
        <f t="array" ref="K33">IFERROR(IF(COUNTIFS(할일표[날짜],J$27,할일표[업무],"&lt;&gt;")&lt;6,"",INDEX(할일표[표시],SMALL(IF((할일표[날짜]=J$27)*(할일표[업무]&lt;&gt;""),ROW(할일표[표시])-ROW(INDEX(할일표[표시],1))+1),6))),"")</f>
        <v/>
      </c>
      <c r="L33" s="80" t="str">
        <f t="array" ref="L33">IFERROR(IF(COUNTIFS(할일표[날짜],J$27,할일표[업무],"&lt;&gt;")&lt;6,"",INDEX(할일표[업무],SMALL(IF((할일표[날짜]=J$27)*(할일표[업무]&lt;&gt;""),ROW(할일표[날짜])-피벗!$T$11),6))),"")</f>
        <v/>
      </c>
      <c r="M33" s="76" t="str">
        <f t="array" ref="M33">IFERROR(IF(COUNTIFS(할일표[날짜],J$27,할일표[업무],"&lt;&gt;")&lt;6,"",INDEX(할일표[진행률],SMALL(IF((할일표[날짜]=J$27)*(할일표[업무]&lt;&gt;""),ROW(할일표[날짜])-피벗!$T$11),6))),"")</f>
        <v/>
      </c>
      <c r="N33" s="74" t="str">
        <f t="array" ref="N33">IFERROR(IF(COUNTIFS(할일표[날짜],N$27,할일표[업무],"&lt;&gt;")&lt;6,"",INDEX(구분표[아이콘],MATCH(INDEX(할일표[구분],SMALL(IF((할일표[날짜]=N$27)*(할일표[업무]&lt;&gt;""),ROW(할일표[구분])-ROW(INDEX(할일표[구분],1))+1),6)),구분표[구분],0))),"")</f>
        <v/>
      </c>
      <c r="O33" s="75" t="str">
        <f t="array" ref="O33">IFERROR(IF(COUNTIFS(할일표[날짜],N$27,할일표[업무],"&lt;&gt;")&lt;6,"",INDEX(할일표[표시],SMALL(IF((할일표[날짜]=N$27)*(할일표[업무]&lt;&gt;""),ROW(할일표[표시])-ROW(INDEX(할일표[표시],1))+1),6))),"")</f>
        <v/>
      </c>
      <c r="P33" s="80" t="str">
        <f t="array" ref="P33">IFERROR(IF(COUNTIFS(할일표[날짜],N$27,할일표[업무],"&lt;&gt;")&lt;6,"",INDEX(할일표[업무],SMALL(IF((할일표[날짜]=N$27)*(할일표[업무]&lt;&gt;""),ROW(할일표[날짜])-피벗!$T$11),6))),"")</f>
        <v/>
      </c>
      <c r="Q33" s="76" t="str">
        <f t="array" ref="Q33">IFERROR(IF(COUNTIFS(할일표[날짜],N$27,할일표[업무],"&lt;&gt;")&lt;6,"",INDEX(할일표[진행률],SMALL(IF((할일표[날짜]=N$27)*(할일표[업무]&lt;&gt;""),ROW(할일표[날짜])-피벗!$T$11),6))),"")</f>
        <v/>
      </c>
      <c r="R33" s="74" t="str">
        <f t="array" ref="R33">IFERROR(IF(COUNTIFS(할일표[날짜],R$27,할일표[업무],"&lt;&gt;")&lt;6,"",INDEX(구분표[아이콘],MATCH(INDEX(할일표[구분],SMALL(IF((할일표[날짜]=R$27)*(할일표[업무]&lt;&gt;""),ROW(할일표[구분])-ROW(INDEX(할일표[구분],1))+1),6)),구분표[구분],0))),"")</f>
        <v/>
      </c>
      <c r="S33" s="75" t="str">
        <f t="array" ref="S33">IFERROR(IF(COUNTIFS(할일표[날짜],R$27,할일표[업무],"&lt;&gt;")&lt;6,"",INDEX(할일표[표시],SMALL(IF((할일표[날짜]=R$27)*(할일표[업무]&lt;&gt;""),ROW(할일표[표시])-ROW(INDEX(할일표[표시],1))+1),6))),"")</f>
        <v/>
      </c>
      <c r="T33" s="80" t="str">
        <f t="array" ref="T33">IFERROR(IF(COUNTIFS(할일표[날짜],R$27,할일표[업무],"&lt;&gt;")&lt;6,"",INDEX(할일표[업무],SMALL(IF((할일표[날짜]=R$27)*(할일표[업무]&lt;&gt;""),ROW(할일표[날짜])-피벗!$T$11),6))),"")</f>
        <v/>
      </c>
      <c r="U33" s="76" t="str">
        <f t="array" ref="U33">IFERROR(IF(COUNTIFS(할일표[날짜],R$27,할일표[업무],"&lt;&gt;")&lt;6,"",INDEX(할일표[진행률],SMALL(IF((할일표[날짜]=R$27)*(할일표[업무]&lt;&gt;""),ROW(할일표[날짜])-피벗!$T$11),6))),"")</f>
        <v/>
      </c>
      <c r="V33" s="74" t="str">
        <f t="array" ref="V33">IFERROR(IF(COUNTIFS(할일표[날짜],V$27,할일표[업무],"&lt;&gt;")&lt;6,"",INDEX(구분표[아이콘],MATCH(INDEX(할일표[구분],SMALL(IF((할일표[날짜]=V$27)*(할일표[업무]&lt;&gt;""),ROW(할일표[구분])-ROW(INDEX(할일표[구분],1))+1),6)),구분표[구분],0))),"")</f>
        <v/>
      </c>
      <c r="W33" s="75" t="str">
        <f t="array" ref="W33">IFERROR(IF(COUNTIFS(할일표[날짜],V$27,할일표[업무],"&lt;&gt;")&lt;6,"",INDEX(할일표[표시],SMALL(IF((할일표[날짜]=V$27)*(할일표[업무]&lt;&gt;""),ROW(할일표[표시])-ROW(INDEX(할일표[표시],1))+1),6))),"")</f>
        <v/>
      </c>
      <c r="X33" s="80" t="str">
        <f t="array" ref="X33">IFERROR(IF(COUNTIFS(할일표[날짜],V$27,할일표[업무],"&lt;&gt;")&lt;6,"",INDEX(할일표[업무],SMALL(IF((할일표[날짜]=V$27)*(할일표[업무]&lt;&gt;""),ROW(할일표[날짜])-피벗!$T$11),6))),"")</f>
        <v/>
      </c>
      <c r="Y33" s="76" t="str">
        <f t="array" ref="Y33">IFERROR(IF(COUNTIFS(할일표[날짜],V$27,할일표[업무],"&lt;&gt;")&lt;6,"",INDEX(할일표[진행률],SMALL(IF((할일표[날짜]=V$27)*(할일표[업무]&lt;&gt;""),ROW(할일표[날짜])-피벗!$T$11),6))),"")</f>
        <v/>
      </c>
      <c r="Z33" s="74" t="str">
        <f t="array" ref="Z33">IFERROR(IF(COUNTIFS(할일표[날짜],Z$27,할일표[업무],"&lt;&gt;")&lt;6,"",INDEX(구분표[아이콘],MATCH(INDEX(할일표[구분],SMALL(IF((할일표[날짜]=Z$27)*(할일표[업무]&lt;&gt;""),ROW(할일표[구분])-ROW(INDEX(할일표[구분],1))+1),6)),구분표[구분],0))),"")</f>
        <v/>
      </c>
      <c r="AA33" s="75" t="str">
        <f t="array" ref="AA33">IFERROR(IF(COUNTIFS(할일표[날짜],Z$27,할일표[업무],"&lt;&gt;")&lt;6,"",INDEX(할일표[표시],SMALL(IF((할일표[날짜]=Z$27)*(할일표[업무]&lt;&gt;""),ROW(할일표[표시])-ROW(INDEX(할일표[표시],1))+1),6))),"")</f>
        <v/>
      </c>
      <c r="AB33" s="80" t="str">
        <f t="array" ref="AB33">IFERROR(IF(COUNTIFS(할일표[날짜],Z$27,할일표[업무],"&lt;&gt;")&lt;6,"",INDEX(할일표[업무],SMALL(IF((할일표[날짜]=Z$27)*(할일표[업무]&lt;&gt;""),ROW(할일표[날짜])-피벗!$T$11),6))),"")</f>
        <v/>
      </c>
      <c r="AC33" s="76" t="str">
        <f t="array" ref="AC33">IFERROR(IF(COUNTIFS(할일표[날짜],Z$27,할일표[업무],"&lt;&gt;")&lt;6,"",INDEX(할일표[진행률],SMALL(IF((할일표[날짜]=Z$27)*(할일표[업무]&lt;&gt;""),ROW(할일표[날짜])-피벗!$T$11),6))),"")</f>
        <v/>
      </c>
    </row>
    <row r="34" spans="2:43" s="48" customFormat="1" ht="21" customHeight="1" x14ac:dyDescent="0.45">
      <c r="B34" s="74" t="str">
        <f t="array" ref="B34">IFERROR(IF(COUNTIFS(할일표[날짜],B$27,할일표[업무],"&lt;&gt;")&lt;7,"",INDEX(구분표[아이콘],MATCH(INDEX(할일표[구분],SMALL(IF((할일표[날짜]=B$27)*(할일표[업무]&lt;&gt;""),ROW(할일표[구분])-ROW(INDEX(할일표[구분],1))+1),7)),구분표[구분],0))),"")</f>
        <v/>
      </c>
      <c r="C34" s="75" t="str">
        <f t="array" ref="C34">IFERROR(IF(COUNTIFS(할일표[날짜],B$27,할일표[업무],"&lt;&gt;")&lt;7,"",INDEX(할일표[표시],SMALL(IF((할일표[날짜]=B$27)*(할일표[업무]&lt;&gt;""),ROW(할일표[표시])-ROW(INDEX(할일표[표시],1))+1),7))),"")</f>
        <v/>
      </c>
      <c r="D34" s="80" t="str">
        <f t="array" ref="D34">IFERROR(IF(COUNTIFS(할일표[날짜],B$27,할일표[업무],"&lt;&gt;")&lt;7,"",INDEX(할일표[업무],SMALL(IF((할일표[날짜]=B$27)*(할일표[업무]&lt;&gt;""),ROW(할일표[날짜])-피벗!$T$11),7))),"")</f>
        <v/>
      </c>
      <c r="E34" s="76" t="str">
        <f t="array" ref="E34">IFERROR(IF(COUNTIFS(할일표[날짜],B$27,할일표[업무],"&lt;&gt;")&lt;7,"",INDEX(할일표[진행률],SMALL(IF((할일표[날짜]=B$27)*(할일표[업무]&lt;&gt;""),ROW(할일표[날짜])-피벗!$T$11),7))),"")</f>
        <v/>
      </c>
      <c r="F34" s="74" t="str">
        <f t="array" ref="F34">IFERROR(IF(COUNTIFS(할일표[날짜],F$27,할일표[업무],"&lt;&gt;")&lt;7,"",INDEX(구분표[아이콘],MATCH(INDEX(할일표[구분],SMALL(IF((할일표[날짜]=F$27)*(할일표[업무]&lt;&gt;""),ROW(할일표[구분])-ROW(INDEX(할일표[구분],1))+1),7)),구분표[구분],0))),"")</f>
        <v/>
      </c>
      <c r="G34" s="75" t="str">
        <f t="array" ref="G34">IFERROR(IF(COUNTIFS(할일표[날짜],F$27,할일표[업무],"&lt;&gt;")&lt;7,"",INDEX(할일표[표시],SMALL(IF((할일표[날짜]=F$27)*(할일표[업무]&lt;&gt;""),ROW(할일표[표시])-ROW(INDEX(할일표[표시],1))+1),7))),"")</f>
        <v/>
      </c>
      <c r="H34" s="80" t="str">
        <f t="array" ref="H34">IFERROR(IF(COUNTIFS(할일표[날짜],F$27,할일표[업무],"&lt;&gt;")&lt;7,"",INDEX(할일표[업무],SMALL(IF((할일표[날짜]=F$27)*(할일표[업무]&lt;&gt;""),ROW(할일표[날짜])-피벗!$T$11),7))),"")</f>
        <v/>
      </c>
      <c r="I34" s="76" t="str">
        <f t="array" ref="I34">IFERROR(IF(COUNTIFS(할일표[날짜],F$27,할일표[업무],"&lt;&gt;")&lt;7,"",INDEX(할일표[진행률],SMALL(IF((할일표[날짜]=F$27)*(할일표[업무]&lt;&gt;""),ROW(할일표[날짜])-피벗!$T$11),7))),"")</f>
        <v/>
      </c>
      <c r="J34" s="74" t="str">
        <f t="array" ref="J34">IFERROR(IF(COUNTIFS(할일표[날짜],J$27,할일표[업무],"&lt;&gt;")&lt;7,"",INDEX(구분표[아이콘],MATCH(INDEX(할일표[구분],SMALL(IF((할일표[날짜]=J$27)*(할일표[업무]&lt;&gt;""),ROW(할일표[구분])-ROW(INDEX(할일표[구분],1))+1),7)),구분표[구분],0))),"")</f>
        <v/>
      </c>
      <c r="K34" s="75" t="str">
        <f t="array" ref="K34">IFERROR(IF(COUNTIFS(할일표[날짜],J$27,할일표[업무],"&lt;&gt;")&lt;7,"",INDEX(할일표[표시],SMALL(IF((할일표[날짜]=J$27)*(할일표[업무]&lt;&gt;""),ROW(할일표[표시])-ROW(INDEX(할일표[표시],1))+1),7))),"")</f>
        <v/>
      </c>
      <c r="L34" s="80" t="str">
        <f t="array" ref="L34">IFERROR(IF(COUNTIFS(할일표[날짜],J$27,할일표[업무],"&lt;&gt;")&lt;7,"",INDEX(할일표[업무],SMALL(IF((할일표[날짜]=J$27)*(할일표[업무]&lt;&gt;""),ROW(할일표[날짜])-피벗!$T$11),7))),"")</f>
        <v/>
      </c>
      <c r="M34" s="76" t="str">
        <f t="array" ref="M34">IFERROR(IF(COUNTIFS(할일표[날짜],J$27,할일표[업무],"&lt;&gt;")&lt;7,"",INDEX(할일표[진행률],SMALL(IF((할일표[날짜]=J$27)*(할일표[업무]&lt;&gt;""),ROW(할일표[날짜])-피벗!$T$11),7))),"")</f>
        <v/>
      </c>
      <c r="N34" s="74" t="str">
        <f t="array" ref="N34">IFERROR(IF(COUNTIFS(할일표[날짜],N$27,할일표[업무],"&lt;&gt;")&lt;7,"",INDEX(구분표[아이콘],MATCH(INDEX(할일표[구분],SMALL(IF((할일표[날짜]=N$27)*(할일표[업무]&lt;&gt;""),ROW(할일표[구분])-ROW(INDEX(할일표[구분],1))+1),7)),구분표[구분],0))),"")</f>
        <v/>
      </c>
      <c r="O34" s="75" t="str">
        <f t="array" ref="O34">IFERROR(IF(COUNTIFS(할일표[날짜],N$27,할일표[업무],"&lt;&gt;")&lt;7,"",INDEX(할일표[표시],SMALL(IF((할일표[날짜]=N$27)*(할일표[업무]&lt;&gt;""),ROW(할일표[표시])-ROW(INDEX(할일표[표시],1))+1),7))),"")</f>
        <v/>
      </c>
      <c r="P34" s="80" t="str">
        <f t="array" ref="P34">IFERROR(IF(COUNTIFS(할일표[날짜],N$27,할일표[업무],"&lt;&gt;")&lt;7,"",INDEX(할일표[업무],SMALL(IF((할일표[날짜]=N$27)*(할일표[업무]&lt;&gt;""),ROW(할일표[날짜])-피벗!$T$11),7))),"")</f>
        <v/>
      </c>
      <c r="Q34" s="76" t="str">
        <f t="array" ref="Q34">IFERROR(IF(COUNTIFS(할일표[날짜],N$27,할일표[업무],"&lt;&gt;")&lt;7,"",INDEX(할일표[진행률],SMALL(IF((할일표[날짜]=N$27)*(할일표[업무]&lt;&gt;""),ROW(할일표[날짜])-피벗!$T$11),7))),"")</f>
        <v/>
      </c>
      <c r="R34" s="74" t="str">
        <f t="array" ref="R34">IFERROR(IF(COUNTIFS(할일표[날짜],R$27,할일표[업무],"&lt;&gt;")&lt;7,"",INDEX(구분표[아이콘],MATCH(INDEX(할일표[구분],SMALL(IF((할일표[날짜]=R$27)*(할일표[업무]&lt;&gt;""),ROW(할일표[구분])-ROW(INDEX(할일표[구분],1))+1),7)),구분표[구분],0))),"")</f>
        <v/>
      </c>
      <c r="S34" s="75" t="str">
        <f t="array" ref="S34">IFERROR(IF(COUNTIFS(할일표[날짜],R$27,할일표[업무],"&lt;&gt;")&lt;7,"",INDEX(할일표[표시],SMALL(IF((할일표[날짜]=R$27)*(할일표[업무]&lt;&gt;""),ROW(할일표[표시])-ROW(INDEX(할일표[표시],1))+1),7))),"")</f>
        <v/>
      </c>
      <c r="T34" s="80" t="str">
        <f t="array" ref="T34">IFERROR(IF(COUNTIFS(할일표[날짜],R$27,할일표[업무],"&lt;&gt;")&lt;7,"",INDEX(할일표[업무],SMALL(IF((할일표[날짜]=R$27)*(할일표[업무]&lt;&gt;""),ROW(할일표[날짜])-피벗!$T$11),7))),"")</f>
        <v/>
      </c>
      <c r="U34" s="76" t="str">
        <f t="array" ref="U34">IFERROR(IF(COUNTIFS(할일표[날짜],R$27,할일표[업무],"&lt;&gt;")&lt;7,"",INDEX(할일표[진행률],SMALL(IF((할일표[날짜]=R$27)*(할일표[업무]&lt;&gt;""),ROW(할일표[날짜])-피벗!$T$11),7))),"")</f>
        <v/>
      </c>
      <c r="V34" s="74" t="str">
        <f t="array" ref="V34">IFERROR(IF(COUNTIFS(할일표[날짜],V$27,할일표[업무],"&lt;&gt;")&lt;7,"",INDEX(구분표[아이콘],MATCH(INDEX(할일표[구분],SMALL(IF((할일표[날짜]=V$27)*(할일표[업무]&lt;&gt;""),ROW(할일표[구분])-ROW(INDEX(할일표[구분],1))+1),7)),구분표[구분],0))),"")</f>
        <v/>
      </c>
      <c r="W34" s="75" t="str">
        <f t="array" ref="W34">IFERROR(IF(COUNTIFS(할일표[날짜],V$27,할일표[업무],"&lt;&gt;")&lt;7,"",INDEX(할일표[표시],SMALL(IF((할일표[날짜]=V$27)*(할일표[업무]&lt;&gt;""),ROW(할일표[표시])-ROW(INDEX(할일표[표시],1))+1),7))),"")</f>
        <v/>
      </c>
      <c r="X34" s="80" t="str">
        <f t="array" ref="X34">IFERROR(IF(COUNTIFS(할일표[날짜],V$27,할일표[업무],"&lt;&gt;")&lt;7,"",INDEX(할일표[업무],SMALL(IF((할일표[날짜]=V$27)*(할일표[업무]&lt;&gt;""),ROW(할일표[날짜])-피벗!$T$11),7))),"")</f>
        <v/>
      </c>
      <c r="Y34" s="76" t="str">
        <f t="array" ref="Y34">IFERROR(IF(COUNTIFS(할일표[날짜],V$27,할일표[업무],"&lt;&gt;")&lt;7,"",INDEX(할일표[진행률],SMALL(IF((할일표[날짜]=V$27)*(할일표[업무]&lt;&gt;""),ROW(할일표[날짜])-피벗!$T$11),7))),"")</f>
        <v/>
      </c>
      <c r="Z34" s="74" t="str">
        <f t="array" ref="Z34">IFERROR(IF(COUNTIFS(할일표[날짜],Z$27,할일표[업무],"&lt;&gt;")&lt;7,"",INDEX(구분표[아이콘],MATCH(INDEX(할일표[구분],SMALL(IF((할일표[날짜]=Z$27)*(할일표[업무]&lt;&gt;""),ROW(할일표[구분])-ROW(INDEX(할일표[구분],1))+1),7)),구분표[구분],0))),"")</f>
        <v/>
      </c>
      <c r="AA34" s="75" t="str">
        <f t="array" ref="AA34">IFERROR(IF(COUNTIFS(할일표[날짜],Z$27,할일표[업무],"&lt;&gt;")&lt;7,"",INDEX(할일표[표시],SMALL(IF((할일표[날짜]=Z$27)*(할일표[업무]&lt;&gt;""),ROW(할일표[표시])-ROW(INDEX(할일표[표시],1))+1),7))),"")</f>
        <v/>
      </c>
      <c r="AB34" s="80" t="str">
        <f t="array" ref="AB34">IFERROR(IF(COUNTIFS(할일표[날짜],Z$27,할일표[업무],"&lt;&gt;")&lt;7,"",INDEX(할일표[업무],SMALL(IF((할일표[날짜]=Z$27)*(할일표[업무]&lt;&gt;""),ROW(할일표[날짜])-피벗!$T$11),7))),"")</f>
        <v/>
      </c>
      <c r="AC34" s="76" t="str">
        <f t="array" ref="AC34">IFERROR(IF(COUNTIFS(할일표[날짜],Z$27,할일표[업무],"&lt;&gt;")&lt;7,"",INDEX(할일표[진행률],SMALL(IF((할일표[날짜]=Z$27)*(할일표[업무]&lt;&gt;""),ROW(할일표[날짜])-피벗!$T$11),7))),"")</f>
        <v/>
      </c>
    </row>
    <row r="35" spans="2:43" s="48" customFormat="1" ht="21" customHeight="1" x14ac:dyDescent="0.45">
      <c r="B35" s="74" t="str">
        <f t="array" ref="B35">IFERROR(IF(COUNTIFS(할일표[날짜],B$27,할일표[업무],"&lt;&gt;")&lt;8,"",INDEX(구분표[아이콘],MATCH(INDEX(할일표[구분],SMALL(IF((할일표[날짜]=B$27)*(할일표[업무]&lt;&gt;""),ROW(할일표[구분])-ROW(INDEX(할일표[구분],1))+1),8)),구분표[구분],0))),"")</f>
        <v/>
      </c>
      <c r="C35" s="75" t="str">
        <f t="array" ref="C35">IFERROR(IF(COUNTIFS(할일표[날짜],B$27,할일표[업무],"&lt;&gt;")&lt;8,"",INDEX(할일표[표시],SMALL(IF((할일표[날짜]=B$27)*(할일표[업무]&lt;&gt;""),ROW(할일표[표시])-ROW(INDEX(할일표[표시],1))+1),8))),"")</f>
        <v/>
      </c>
      <c r="D35" s="80" t="str">
        <f t="array" ref="D35">IFERROR(IF(COUNTIFS(할일표[날짜],B$27,할일표[업무],"&lt;&gt;")&lt;8,"",INDEX(할일표[업무],SMALL(IF((할일표[날짜]=B$27)*(할일표[업무]&lt;&gt;""),ROW(할일표[날짜])-피벗!$T$11),8))),"")</f>
        <v/>
      </c>
      <c r="E35" s="76" t="str">
        <f t="array" ref="E35">IFERROR(IF(COUNTIFS(할일표[날짜],B$27,할일표[업무],"&lt;&gt;")&lt;8,"",INDEX(할일표[진행률],SMALL(IF((할일표[날짜]=B$27)*(할일표[업무]&lt;&gt;""),ROW(할일표[날짜])-피벗!$T$11),8))),"")</f>
        <v/>
      </c>
      <c r="F35" s="74" t="str">
        <f t="array" ref="F35">IFERROR(IF(COUNTIFS(할일표[날짜],F$27,할일표[업무],"&lt;&gt;")&lt;8,"",INDEX(구분표[아이콘],MATCH(INDEX(할일표[구분],SMALL(IF((할일표[날짜]=F$27)*(할일표[업무]&lt;&gt;""),ROW(할일표[구분])-ROW(INDEX(할일표[구분],1))+1),8)),구분표[구분],0))),"")</f>
        <v/>
      </c>
      <c r="G35" s="75" t="str">
        <f t="array" ref="G35">IFERROR(IF(COUNTIFS(할일표[날짜],F$27,할일표[업무],"&lt;&gt;")&lt;8,"",INDEX(할일표[표시],SMALL(IF((할일표[날짜]=F$27)*(할일표[업무]&lt;&gt;""),ROW(할일표[표시])-ROW(INDEX(할일표[표시],1))+1),8))),"")</f>
        <v/>
      </c>
      <c r="H35" s="80" t="str">
        <f t="array" ref="H35">IFERROR(IF(COUNTIFS(할일표[날짜],F$27,할일표[업무],"&lt;&gt;")&lt;8,"",INDEX(할일표[업무],SMALL(IF((할일표[날짜]=F$27)*(할일표[업무]&lt;&gt;""),ROW(할일표[날짜])-피벗!$T$11),8))),"")</f>
        <v/>
      </c>
      <c r="I35" s="76" t="str">
        <f t="array" ref="I35">IFERROR(IF(COUNTIFS(할일표[날짜],F$27,할일표[업무],"&lt;&gt;")&lt;8,"",INDEX(할일표[진행률],SMALL(IF((할일표[날짜]=F$27)*(할일표[업무]&lt;&gt;""),ROW(할일표[날짜])-피벗!$T$11),8))),"")</f>
        <v/>
      </c>
      <c r="J35" s="74" t="str">
        <f t="array" ref="J35">IFERROR(IF(COUNTIFS(할일표[날짜],J$27,할일표[업무],"&lt;&gt;")&lt;8,"",INDEX(구분표[아이콘],MATCH(INDEX(할일표[구분],SMALL(IF((할일표[날짜]=J$27)*(할일표[업무]&lt;&gt;""),ROW(할일표[구분])-ROW(INDEX(할일표[구분],1))+1),8)),구분표[구분],0))),"")</f>
        <v/>
      </c>
      <c r="K35" s="75" t="str">
        <f t="array" ref="K35">IFERROR(IF(COUNTIFS(할일표[날짜],J$27,할일표[업무],"&lt;&gt;")&lt;8,"",INDEX(할일표[표시],SMALL(IF((할일표[날짜]=J$27)*(할일표[업무]&lt;&gt;""),ROW(할일표[표시])-ROW(INDEX(할일표[표시],1))+1),8))),"")</f>
        <v/>
      </c>
      <c r="L35" s="80" t="str">
        <f t="array" ref="L35">IFERROR(IF(COUNTIFS(할일표[날짜],J$27,할일표[업무],"&lt;&gt;")&lt;8,"",INDEX(할일표[업무],SMALL(IF((할일표[날짜]=J$27)*(할일표[업무]&lt;&gt;""),ROW(할일표[날짜])-피벗!$T$11),8))),"")</f>
        <v/>
      </c>
      <c r="M35" s="76" t="str">
        <f t="array" ref="M35">IFERROR(IF(COUNTIFS(할일표[날짜],J$27,할일표[업무],"&lt;&gt;")&lt;8,"",INDEX(할일표[진행률],SMALL(IF((할일표[날짜]=J$27)*(할일표[업무]&lt;&gt;""),ROW(할일표[날짜])-피벗!$T$11),8))),"")</f>
        <v/>
      </c>
      <c r="N35" s="74" t="str">
        <f t="array" ref="N35">IFERROR(IF(COUNTIFS(할일표[날짜],N$27,할일표[업무],"&lt;&gt;")&lt;8,"",INDEX(구분표[아이콘],MATCH(INDEX(할일표[구분],SMALL(IF((할일표[날짜]=N$27)*(할일표[업무]&lt;&gt;""),ROW(할일표[구분])-ROW(INDEX(할일표[구분],1))+1),8)),구분표[구분],0))),"")</f>
        <v/>
      </c>
      <c r="O35" s="75" t="str">
        <f t="array" ref="O35">IFERROR(IF(COUNTIFS(할일표[날짜],N$27,할일표[업무],"&lt;&gt;")&lt;8,"",INDEX(할일표[표시],SMALL(IF((할일표[날짜]=N$27)*(할일표[업무]&lt;&gt;""),ROW(할일표[표시])-ROW(INDEX(할일표[표시],1))+1),8))),"")</f>
        <v/>
      </c>
      <c r="P35" s="80" t="str">
        <f t="array" ref="P35">IFERROR(IF(COUNTIFS(할일표[날짜],N$27,할일표[업무],"&lt;&gt;")&lt;8,"",INDEX(할일표[업무],SMALL(IF((할일표[날짜]=N$27)*(할일표[업무]&lt;&gt;""),ROW(할일표[날짜])-피벗!$T$11),8))),"")</f>
        <v/>
      </c>
      <c r="Q35" s="76" t="str">
        <f t="array" ref="Q35">IFERROR(IF(COUNTIFS(할일표[날짜],N$27,할일표[업무],"&lt;&gt;")&lt;8,"",INDEX(할일표[진행률],SMALL(IF((할일표[날짜]=N$27)*(할일표[업무]&lt;&gt;""),ROW(할일표[날짜])-피벗!$T$11),8))),"")</f>
        <v/>
      </c>
      <c r="R35" s="74" t="str">
        <f t="array" ref="R35">IFERROR(IF(COUNTIFS(할일표[날짜],R$27,할일표[업무],"&lt;&gt;")&lt;8,"",INDEX(구분표[아이콘],MATCH(INDEX(할일표[구분],SMALL(IF((할일표[날짜]=R$27)*(할일표[업무]&lt;&gt;""),ROW(할일표[구분])-ROW(INDEX(할일표[구분],1))+1),8)),구분표[구분],0))),"")</f>
        <v/>
      </c>
      <c r="S35" s="75" t="str">
        <f t="array" ref="S35">IFERROR(IF(COUNTIFS(할일표[날짜],R$27,할일표[업무],"&lt;&gt;")&lt;8,"",INDEX(할일표[표시],SMALL(IF((할일표[날짜]=R$27)*(할일표[업무]&lt;&gt;""),ROW(할일표[표시])-ROW(INDEX(할일표[표시],1))+1),8))),"")</f>
        <v/>
      </c>
      <c r="T35" s="80" t="str">
        <f t="array" ref="T35">IFERROR(IF(COUNTIFS(할일표[날짜],R$27,할일표[업무],"&lt;&gt;")&lt;8,"",INDEX(할일표[업무],SMALL(IF((할일표[날짜]=R$27)*(할일표[업무]&lt;&gt;""),ROW(할일표[날짜])-피벗!$T$11),8))),"")</f>
        <v/>
      </c>
      <c r="U35" s="76" t="str">
        <f t="array" ref="U35">IFERROR(IF(COUNTIFS(할일표[날짜],R$27,할일표[업무],"&lt;&gt;")&lt;8,"",INDEX(할일표[진행률],SMALL(IF((할일표[날짜]=R$27)*(할일표[업무]&lt;&gt;""),ROW(할일표[날짜])-피벗!$T$11),8))),"")</f>
        <v/>
      </c>
      <c r="V35" s="74" t="str">
        <f t="array" ref="V35">IFERROR(IF(COUNTIFS(할일표[날짜],V$27,할일표[업무],"&lt;&gt;")&lt;8,"",INDEX(구분표[아이콘],MATCH(INDEX(할일표[구분],SMALL(IF((할일표[날짜]=V$27)*(할일표[업무]&lt;&gt;""),ROW(할일표[구분])-ROW(INDEX(할일표[구분],1))+1),8)),구분표[구분],0))),"")</f>
        <v/>
      </c>
      <c r="W35" s="75" t="str">
        <f t="array" ref="W35">IFERROR(IF(COUNTIFS(할일표[날짜],V$27,할일표[업무],"&lt;&gt;")&lt;8,"",INDEX(할일표[표시],SMALL(IF((할일표[날짜]=V$27)*(할일표[업무]&lt;&gt;""),ROW(할일표[표시])-ROW(INDEX(할일표[표시],1))+1),8))),"")</f>
        <v/>
      </c>
      <c r="X35" s="80" t="str">
        <f t="array" ref="X35">IFERROR(IF(COUNTIFS(할일표[날짜],V$27,할일표[업무],"&lt;&gt;")&lt;8,"",INDEX(할일표[업무],SMALL(IF((할일표[날짜]=V$27)*(할일표[업무]&lt;&gt;""),ROW(할일표[날짜])-피벗!$T$11),8))),"")</f>
        <v/>
      </c>
      <c r="Y35" s="76" t="str">
        <f t="array" ref="Y35">IFERROR(IF(COUNTIFS(할일표[날짜],V$27,할일표[업무],"&lt;&gt;")&lt;8,"",INDEX(할일표[진행률],SMALL(IF((할일표[날짜]=V$27)*(할일표[업무]&lt;&gt;""),ROW(할일표[날짜])-피벗!$T$11),8))),"")</f>
        <v/>
      </c>
      <c r="Z35" s="74" t="str">
        <f t="array" ref="Z35">IFERROR(IF(COUNTIFS(할일표[날짜],Z$27,할일표[업무],"&lt;&gt;")&lt;8,"",INDEX(구분표[아이콘],MATCH(INDEX(할일표[구분],SMALL(IF((할일표[날짜]=Z$27)*(할일표[업무]&lt;&gt;""),ROW(할일표[구분])-ROW(INDEX(할일표[구분],1))+1),8)),구분표[구분],0))),"")</f>
        <v/>
      </c>
      <c r="AA35" s="75" t="str">
        <f t="array" ref="AA35">IFERROR(IF(COUNTIFS(할일표[날짜],Z$27,할일표[업무],"&lt;&gt;")&lt;8,"",INDEX(할일표[표시],SMALL(IF((할일표[날짜]=Z$27)*(할일표[업무]&lt;&gt;""),ROW(할일표[표시])-ROW(INDEX(할일표[표시],1))+1),8))),"")</f>
        <v/>
      </c>
      <c r="AB35" s="80" t="str">
        <f t="array" ref="AB35">IFERROR(IF(COUNTIFS(할일표[날짜],Z$27,할일표[업무],"&lt;&gt;")&lt;8,"",INDEX(할일표[업무],SMALL(IF((할일표[날짜]=Z$27)*(할일표[업무]&lt;&gt;""),ROW(할일표[날짜])-피벗!$T$11),8))),"")</f>
        <v/>
      </c>
      <c r="AC35" s="76" t="str">
        <f t="array" ref="AC35">IFERROR(IF(COUNTIFS(할일표[날짜],Z$27,할일표[업무],"&lt;&gt;")&lt;8,"",INDEX(할일표[진행률],SMALL(IF((할일표[날짜]=Z$27)*(할일표[업무]&lt;&gt;""),ROW(할일표[날짜])-피벗!$T$11),8))),"")</f>
        <v/>
      </c>
      <c r="AG35" s="45"/>
      <c r="AH35" s="45"/>
      <c r="AI35" s="45"/>
      <c r="AJ35" s="45"/>
      <c r="AK35" s="45"/>
      <c r="AL35" s="45"/>
      <c r="AM35" s="45"/>
      <c r="AN35" s="45"/>
      <c r="AO35" s="45"/>
    </row>
    <row r="36" spans="2:43" ht="7.5" customHeight="1" x14ac:dyDescent="0.45">
      <c r="B36" s="87"/>
      <c r="C36" s="88"/>
      <c r="D36" s="88"/>
      <c r="E36" s="89"/>
      <c r="F36" s="87"/>
      <c r="G36" s="88"/>
      <c r="H36" s="88"/>
      <c r="I36" s="89"/>
      <c r="J36" s="87"/>
      <c r="K36" s="88"/>
      <c r="L36" s="88"/>
      <c r="M36" s="89"/>
      <c r="N36" s="87"/>
      <c r="O36" s="88"/>
      <c r="P36" s="88"/>
      <c r="Q36" s="89"/>
      <c r="R36" s="87"/>
      <c r="S36" s="88"/>
      <c r="T36" s="88"/>
      <c r="U36" s="89"/>
      <c r="V36" s="87"/>
      <c r="W36" s="88"/>
      <c r="X36" s="88"/>
      <c r="Y36" s="89"/>
      <c r="Z36" s="87"/>
      <c r="AA36" s="88"/>
      <c r="AB36" s="88"/>
      <c r="AC36" s="89"/>
      <c r="AI36" s="44"/>
      <c r="AJ36" s="44"/>
      <c r="AK36" s="44"/>
      <c r="AL36" s="44"/>
      <c r="AM36" s="44"/>
      <c r="AN36" s="44"/>
      <c r="AO36" s="44"/>
      <c r="AP36" s="44"/>
      <c r="AQ36" s="44"/>
    </row>
    <row r="37" spans="2:43" s="44" customFormat="1" ht="23.5" customHeight="1" x14ac:dyDescent="0.45">
      <c r="B37" s="71">
        <f>Z27+1</f>
        <v>46285</v>
      </c>
      <c r="C37" s="72"/>
      <c r="D37" s="72"/>
      <c r="E37" s="73"/>
      <c r="F37" s="71">
        <f>B37+1</f>
        <v>46286</v>
      </c>
      <c r="G37" s="72"/>
      <c r="H37" s="72"/>
      <c r="I37" s="73"/>
      <c r="J37" s="71">
        <f>F37+1</f>
        <v>46287</v>
      </c>
      <c r="K37" s="72"/>
      <c r="L37" s="72"/>
      <c r="M37" s="73"/>
      <c r="N37" s="71">
        <f>J37+1</f>
        <v>46288</v>
      </c>
      <c r="O37" s="72"/>
      <c r="P37" s="72"/>
      <c r="Q37" s="73"/>
      <c r="R37" s="71">
        <f>N37+1</f>
        <v>46289</v>
      </c>
      <c r="S37" s="72"/>
      <c r="T37" s="72"/>
      <c r="U37" s="73"/>
      <c r="V37" s="71">
        <f>R37+1</f>
        <v>46290</v>
      </c>
      <c r="W37" s="72"/>
      <c r="X37" s="72"/>
      <c r="Y37" s="73"/>
      <c r="Z37" s="71">
        <f>V37+1</f>
        <v>46291</v>
      </c>
      <c r="AA37" s="72"/>
      <c r="AB37" s="72"/>
      <c r="AC37" s="73"/>
      <c r="AI37" s="48"/>
      <c r="AJ37" s="48"/>
      <c r="AK37" s="48"/>
      <c r="AL37" s="48"/>
      <c r="AM37" s="48"/>
      <c r="AN37" s="48"/>
      <c r="AO37" s="48"/>
      <c r="AP37" s="48"/>
      <c r="AQ37" s="48"/>
    </row>
    <row r="38" spans="2:43" s="48" customFormat="1" ht="21" customHeight="1" x14ac:dyDescent="0.45">
      <c r="B38" s="74">
        <f t="array" ref="B38">IFERROR(IF(COUNTIFS(할일표[날짜],B$37,할일표[업무],"&lt;&gt;")&lt;1,"",INDEX(구분표[아이콘],MATCH(INDEX(할일표[구분],SMALL(IF((할일표[날짜]=B$37)*(할일표[업무]&lt;&gt;""),ROW(할일표[구분])-ROW(INDEX(할일표[구분],1))+1),1)),구분표[구분],0))),"")</f>
        <v>0</v>
      </c>
      <c r="C38" s="75">
        <f t="array" ref="C38">IFERROR(IF(COUNTIFS(할일표[날짜],B$37,할일표[업무],"&lt;&gt;")&lt;1,"",INDEX(할일표[표시],SMALL(IF((할일표[날짜]=B$37)*(할일표[업무]&lt;&gt;""),ROW(할일표[표시])-ROW(INDEX(할일표[표시],1))+1),1))),"")</f>
        <v>1</v>
      </c>
      <c r="D38" s="80" t="str">
        <f t="array" ref="D38">IFERROR(IF(COUNTIFS(할일표[날짜],B$37,할일표[업무],"&lt;&gt;")&lt;1,"",INDEX(할일표[업무],SMALL(IF((할일표[날짜]=B$37)*(할일표[업무]&lt;&gt;""),ROW(할일표[날짜])-피벗!$T$11),1))),"")</f>
        <v>카드뉴스 포스팅</v>
      </c>
      <c r="E38" s="76">
        <f t="array" ref="E38">IFERROR(IF(COUNTIFS(할일표[날짜],B$37,할일표[업무],"&lt;&gt;")&lt;1,"",INDEX(할일표[진행률],SMALL(IF((할일표[날짜]=B$37)*(할일표[업무]&lt;&gt;""),ROW(할일표[날짜])-피벗!$T$11),1))),"")</f>
        <v>0</v>
      </c>
      <c r="F38" s="74">
        <f t="array" ref="F38">IFERROR(IF(COUNTIFS(할일표[날짜],F$37,할일표[업무],"&lt;&gt;")&lt;1,"",INDEX(구분표[아이콘],MATCH(INDEX(할일표[구분],SMALL(IF((할일표[날짜]=F$37)*(할일표[업무]&lt;&gt;""),ROW(할일표[구분])-ROW(INDEX(할일표[구분],1))+1),1)),구분표[구분],0))),"")</f>
        <v>0</v>
      </c>
      <c r="G38" s="75">
        <f t="array" ref="G38">IFERROR(IF(COUNTIFS(할일표[날짜],F$37,할일표[업무],"&lt;&gt;")&lt;1,"",INDEX(할일표[표시],SMALL(IF((할일표[날짜]=F$37)*(할일표[업무]&lt;&gt;""),ROW(할일표[표시])-ROW(INDEX(할일표[표시],1))+1),1))),"")</f>
        <v>3</v>
      </c>
      <c r="H38" s="80" t="str">
        <f t="array" ref="H38">IFERROR(IF(COUNTIFS(할일표[날짜],F$37,할일표[업무],"&lt;&gt;")&lt;1,"",INDEX(할일표[업무],SMALL(IF((할일표[날짜]=F$37)*(할일표[업무]&lt;&gt;""),ROW(할일표[날짜])-피벗!$T$11),1))),"")</f>
        <v>이메일 뉴스레터 기획</v>
      </c>
      <c r="I38" s="76">
        <f t="array" ref="I38">IFERROR(IF(COUNTIFS(할일표[날짜],F$37,할일표[업무],"&lt;&gt;")&lt;1,"",INDEX(할일표[진행률],SMALL(IF((할일표[날짜]=F$37)*(할일표[업무]&lt;&gt;""),ROW(할일표[날짜])-피벗!$T$11),1))),"")</f>
        <v>0.25</v>
      </c>
      <c r="J38" s="74">
        <f t="array" ref="J38">IFERROR(IF(COUNTIFS(할일표[날짜],J$37,할일표[업무],"&lt;&gt;")&lt;1,"",INDEX(구분표[아이콘],MATCH(INDEX(할일표[구분],SMALL(IF((할일표[날짜]=J$37)*(할일표[업무]&lt;&gt;""),ROW(할일표[구분])-ROW(INDEX(할일표[구분],1))+1),1)),구분표[구분],0))),"")</f>
        <v>0</v>
      </c>
      <c r="K38" s="75">
        <f t="array" ref="K38">IFERROR(IF(COUNTIFS(할일표[날짜],J$37,할일표[업무],"&lt;&gt;")&lt;1,"",INDEX(할일표[표시],SMALL(IF((할일표[날짜]=J$37)*(할일표[업무]&lt;&gt;""),ROW(할일표[표시])-ROW(INDEX(할일표[표시],1))+1),1))),"")</f>
        <v>2</v>
      </c>
      <c r="L38" s="80" t="str">
        <f t="array" ref="L38">IFERROR(IF(COUNTIFS(할일표[날짜],J$37,할일표[업무],"&lt;&gt;")&lt;1,"",INDEX(할일표[업무],SMALL(IF((할일표[날짜]=J$37)*(할일표[업무]&lt;&gt;""),ROW(할일표[날짜])-피벗!$T$11),1))),"")</f>
        <v>이메일 뉴스레터 초안 작성</v>
      </c>
      <c r="M38" s="76">
        <f t="array" ref="M38">IFERROR(IF(COUNTIFS(할일표[날짜],J$37,할일표[업무],"&lt;&gt;")&lt;1,"",INDEX(할일표[진행률],SMALL(IF((할일표[날짜]=J$37)*(할일표[업무]&lt;&gt;""),ROW(할일표[날짜])-피벗!$T$11),1))),"")</f>
        <v>0</v>
      </c>
      <c r="N38" s="74">
        <f t="array" ref="N38">IFERROR(IF(COUNTIFS(할일표[날짜],N$37,할일표[업무],"&lt;&gt;")&lt;1,"",INDEX(구분표[아이콘],MATCH(INDEX(할일표[구분],SMALL(IF((할일표[날짜]=N$37)*(할일표[업무]&lt;&gt;""),ROW(할일표[구분])-ROW(INDEX(할일표[구분],1))+1),1)),구분표[구분],0))),"")</f>
        <v>0</v>
      </c>
      <c r="O38" s="75">
        <f t="array" ref="O38">IFERROR(IF(COUNTIFS(할일표[날짜],N$37,할일표[업무],"&lt;&gt;")&lt;1,"",INDEX(할일표[표시],SMALL(IF((할일표[날짜]=N$37)*(할일표[업무]&lt;&gt;""),ROW(할일표[표시])-ROW(INDEX(할일표[표시],1))+1),1))),"")</f>
        <v>1</v>
      </c>
      <c r="P38" s="80" t="str">
        <f t="array" ref="P38">IFERROR(IF(COUNTIFS(할일표[날짜],N$37,할일표[업무],"&lt;&gt;")&lt;1,"",INDEX(할일표[업무],SMALL(IF((할일표[날짜]=N$37)*(할일표[업무]&lt;&gt;""),ROW(할일표[날짜])-피벗!$T$11),1))),"")</f>
        <v>이메일 뉴스레터 발행</v>
      </c>
      <c r="Q38" s="76">
        <f t="array" ref="Q38">IFERROR(IF(COUNTIFS(할일표[날짜],N$37,할일표[업무],"&lt;&gt;")&lt;1,"",INDEX(할일표[진행률],SMALL(IF((할일표[날짜]=N$37)*(할일표[업무]&lt;&gt;""),ROW(할일표[날짜])-피벗!$T$11),1))),"")</f>
        <v>0</v>
      </c>
      <c r="R38" s="74" t="str">
        <f t="array" ref="R38">IFERROR(IF(COUNTIFS(할일표[날짜],R$37,할일표[업무],"&lt;&gt;")&lt;1,"",INDEX(구분표[아이콘],MATCH(INDEX(할일표[구분],SMALL(IF((할일표[날짜]=R$37)*(할일표[업무]&lt;&gt;""),ROW(할일표[구분])-ROW(INDEX(할일표[구분],1))+1),1)),구분표[구분],0))),"")</f>
        <v>🗓️</v>
      </c>
      <c r="S38" s="75">
        <f t="array" ref="S38">IFERROR(IF(COUNTIFS(할일표[날짜],R$37,할일표[업무],"&lt;&gt;")&lt;1,"",INDEX(할일표[표시],SMALL(IF((할일표[날짜]=R$37)*(할일표[업무]&lt;&gt;""),ROW(할일표[표시])-ROW(INDEX(할일표[표시],1))+1),1))),"")</f>
        <v>1</v>
      </c>
      <c r="T38" s="80" t="str">
        <f t="array" ref="T38">IFERROR(IF(COUNTIFS(할일표[날짜],R$37,할일표[업무],"&lt;&gt;")&lt;1,"",INDEX(할일표[업무],SMALL(IF((할일표[날짜]=R$37)*(할일표[업무]&lt;&gt;""),ROW(할일표[날짜])-피벗!$T$11),1))),"")</f>
        <v>11:00 미팅</v>
      </c>
      <c r="U38" s="76">
        <f t="array" ref="U38">IFERROR(IF(COUNTIFS(할일표[날짜],R$37,할일표[업무],"&lt;&gt;")&lt;1,"",INDEX(할일표[진행률],SMALL(IF((할일표[날짜]=R$37)*(할일표[업무]&lt;&gt;""),ROW(할일표[날짜])-피벗!$T$11),1))),"")</f>
        <v>1</v>
      </c>
      <c r="V38" s="74" t="str">
        <f t="array" ref="V38">IFERROR(IF(COUNTIFS(할일표[날짜],V$37,할일표[업무],"&lt;&gt;")&lt;1,"",INDEX(구분표[아이콘],MATCH(INDEX(할일표[구분],SMALL(IF((할일표[날짜]=V$37)*(할일표[업무]&lt;&gt;""),ROW(할일표[구분])-ROW(INDEX(할일표[구분],1))+1),1)),구분표[구분],0))),"")</f>
        <v/>
      </c>
      <c r="W38" s="75" t="str">
        <f t="array" ref="W38">IFERROR(IF(COUNTIFS(할일표[날짜],V$37,할일표[업무],"&lt;&gt;")&lt;1,"",INDEX(할일표[표시],SMALL(IF((할일표[날짜]=V$37)*(할일표[업무]&lt;&gt;""),ROW(할일표[표시])-ROW(INDEX(할일표[표시],1))+1),1))),"")</f>
        <v/>
      </c>
      <c r="X38" s="80" t="str">
        <f t="array" ref="X38">IFERROR(IF(COUNTIFS(할일표[날짜],V$37,할일표[업무],"&lt;&gt;")&lt;1,"",INDEX(할일표[업무],SMALL(IF((할일표[날짜]=V$37)*(할일표[업무]&lt;&gt;""),ROW(할일표[날짜])-피벗!$T$11),1))),"")</f>
        <v/>
      </c>
      <c r="Y38" s="76" t="str">
        <f t="array" ref="Y38">IFERROR(IF(COUNTIFS(할일표[날짜],V$37,할일표[업무],"&lt;&gt;")&lt;1,"",INDEX(할일표[진행률],SMALL(IF((할일표[날짜]=V$37)*(할일표[업무]&lt;&gt;""),ROW(할일표[날짜])-피벗!$T$11),1))),"")</f>
        <v/>
      </c>
      <c r="Z38" s="74" t="str">
        <f t="array" ref="Z38">IFERROR(IF(COUNTIFS(할일표[날짜],Z$37,할일표[업무],"&lt;&gt;")&lt;1,"",INDEX(구분표[아이콘],MATCH(INDEX(할일표[구분],SMALL(IF((할일표[날짜]=Z$37)*(할일표[업무]&lt;&gt;""),ROW(할일표[구분])-ROW(INDEX(할일표[구분],1))+1),1)),구분표[구분],0))),"")</f>
        <v/>
      </c>
      <c r="AA38" s="75" t="str">
        <f t="array" ref="AA38">IFERROR(IF(COUNTIFS(할일표[날짜],Z$37,할일표[업무],"&lt;&gt;")&lt;1,"",INDEX(할일표[표시],SMALL(IF((할일표[날짜]=Z$37)*(할일표[업무]&lt;&gt;""),ROW(할일표[표시])-ROW(INDEX(할일표[표시],1))+1),1))),"")</f>
        <v/>
      </c>
      <c r="AB38" s="80" t="str">
        <f t="array" ref="AB38">IFERROR(IF(COUNTIFS(할일표[날짜],Z$37,할일표[업무],"&lt;&gt;")&lt;1,"",INDEX(할일표[업무],SMALL(IF((할일표[날짜]=Z$37)*(할일표[업무]&lt;&gt;""),ROW(할일표[날짜])-피벗!$T$11),1))),"")</f>
        <v/>
      </c>
      <c r="AC38" s="76" t="str">
        <f t="array" ref="AC38">IFERROR(IF(COUNTIFS(할일표[날짜],Z$37,할일표[업무],"&lt;&gt;")&lt;1,"",INDEX(할일표[진행률],SMALL(IF((할일표[날짜]=Z$37)*(할일표[업무]&lt;&gt;""),ROW(할일표[날짜])-피벗!$T$11),1))),"")</f>
        <v/>
      </c>
    </row>
    <row r="39" spans="2:43" s="48" customFormat="1" ht="21" customHeight="1" x14ac:dyDescent="0.45">
      <c r="B39" s="74" t="str">
        <f t="array" ref="B39">IFERROR(IF(COUNTIFS(할일표[날짜],B$37,할일표[업무],"&lt;&gt;")&lt;2,"",INDEX(구분표[아이콘],MATCH(INDEX(할일표[구분],SMALL(IF((할일표[날짜]=B$37)*(할일표[업무]&lt;&gt;""),ROW(할일표[구분])-ROW(INDEX(할일표[구분],1))+1),2)),구분표[구분],0))),"")</f>
        <v/>
      </c>
      <c r="C39" s="75" t="str">
        <f t="array" ref="C39">IFERROR(IF(COUNTIFS(할일표[날짜],B$37,할일표[업무],"&lt;&gt;")&lt;2,"",INDEX(할일표[표시],SMALL(IF((할일표[날짜]=B$37)*(할일표[업무]&lt;&gt;""),ROW(할일표[표시])-ROW(INDEX(할일표[표시],1))+1),2))),"")</f>
        <v/>
      </c>
      <c r="D39" s="80" t="str">
        <f t="array" ref="D39">IFERROR(IF(COUNTIFS(할일표[날짜],B$37,할일표[업무],"&lt;&gt;")&lt;2,"",INDEX(할일표[업무],SMALL(IF((할일표[날짜]=B$37)*(할일표[업무]&lt;&gt;""),ROW(할일표[날짜])-피벗!$T$11),2))),"")</f>
        <v/>
      </c>
      <c r="E39" s="76" t="str">
        <f t="array" ref="E39">IFERROR(IF(COUNTIFS(할일표[날짜],B$37,할일표[업무],"&lt;&gt;")&lt;2,"",INDEX(할일표[진행률],SMALL(IF((할일표[날짜]=B$37)*(할일표[업무]&lt;&gt;""),ROW(할일표[날짜])-피벗!$T$11),2))),"")</f>
        <v/>
      </c>
      <c r="F39" s="74" t="str">
        <f t="array" ref="F39">IFERROR(IF(COUNTIFS(할일표[날짜],F$37,할일표[업무],"&lt;&gt;")&lt;2,"",INDEX(구분표[아이콘],MATCH(INDEX(할일표[구분],SMALL(IF((할일표[날짜]=F$37)*(할일표[업무]&lt;&gt;""),ROW(할일표[구분])-ROW(INDEX(할일표[구분],1))+1),2)),구분표[구분],0))),"")</f>
        <v/>
      </c>
      <c r="G39" s="75" t="str">
        <f t="array" ref="G39">IFERROR(IF(COUNTIFS(할일표[날짜],F$37,할일표[업무],"&lt;&gt;")&lt;2,"",INDEX(할일표[표시],SMALL(IF((할일표[날짜]=F$37)*(할일표[업무]&lt;&gt;""),ROW(할일표[표시])-ROW(INDEX(할일표[표시],1))+1),2))),"")</f>
        <v/>
      </c>
      <c r="H39" s="80" t="str">
        <f t="array" ref="H39">IFERROR(IF(COUNTIFS(할일표[날짜],F$37,할일표[업무],"&lt;&gt;")&lt;2,"",INDEX(할일표[업무],SMALL(IF((할일표[날짜]=F$37)*(할일표[업무]&lt;&gt;""),ROW(할일표[날짜])-피벗!$T$11),2))),"")</f>
        <v/>
      </c>
      <c r="I39" s="76" t="str">
        <f t="array" ref="I39">IFERROR(IF(COUNTIFS(할일표[날짜],F$37,할일표[업무],"&lt;&gt;")&lt;2,"",INDEX(할일표[진행률],SMALL(IF((할일표[날짜]=F$37)*(할일표[업무]&lt;&gt;""),ROW(할일표[날짜])-피벗!$T$11),2))),"")</f>
        <v/>
      </c>
      <c r="J39" s="74" t="str">
        <f t="array" ref="J39">IFERROR(IF(COUNTIFS(할일표[날짜],J$37,할일표[업무],"&lt;&gt;")&lt;2,"",INDEX(구분표[아이콘],MATCH(INDEX(할일표[구분],SMALL(IF((할일표[날짜]=J$37)*(할일표[업무]&lt;&gt;""),ROW(할일표[구분])-ROW(INDEX(할일표[구분],1))+1),2)),구분표[구분],0))),"")</f>
        <v/>
      </c>
      <c r="K39" s="75" t="str">
        <f t="array" ref="K39">IFERROR(IF(COUNTIFS(할일표[날짜],J$37,할일표[업무],"&lt;&gt;")&lt;2,"",INDEX(할일표[표시],SMALL(IF((할일표[날짜]=J$37)*(할일표[업무]&lt;&gt;""),ROW(할일표[표시])-ROW(INDEX(할일표[표시],1))+1),2))),"")</f>
        <v/>
      </c>
      <c r="L39" s="80" t="str">
        <f t="array" ref="L39">IFERROR(IF(COUNTIFS(할일표[날짜],J$37,할일표[업무],"&lt;&gt;")&lt;2,"",INDEX(할일표[업무],SMALL(IF((할일표[날짜]=J$37)*(할일표[업무]&lt;&gt;""),ROW(할일표[날짜])-피벗!$T$11),2))),"")</f>
        <v/>
      </c>
      <c r="M39" s="76" t="str">
        <f t="array" ref="M39">IFERROR(IF(COUNTIFS(할일표[날짜],J$37,할일표[업무],"&lt;&gt;")&lt;2,"",INDEX(할일표[진행률],SMALL(IF((할일표[날짜]=J$37)*(할일표[업무]&lt;&gt;""),ROW(할일표[날짜])-피벗!$T$11),2))),"")</f>
        <v/>
      </c>
      <c r="N39" s="74" t="str">
        <f t="array" ref="N39">IFERROR(IF(COUNTIFS(할일표[날짜],N$37,할일표[업무],"&lt;&gt;")&lt;2,"",INDEX(구분표[아이콘],MATCH(INDEX(할일표[구분],SMALL(IF((할일표[날짜]=N$37)*(할일표[업무]&lt;&gt;""),ROW(할일표[구분])-ROW(INDEX(할일표[구분],1))+1),2)),구분표[구분],0))),"")</f>
        <v/>
      </c>
      <c r="O39" s="75" t="str">
        <f t="array" ref="O39">IFERROR(IF(COUNTIFS(할일표[날짜],N$37,할일표[업무],"&lt;&gt;")&lt;2,"",INDEX(할일표[표시],SMALL(IF((할일표[날짜]=N$37)*(할일표[업무]&lt;&gt;""),ROW(할일표[표시])-ROW(INDEX(할일표[표시],1))+1),2))),"")</f>
        <v/>
      </c>
      <c r="P39" s="80" t="str">
        <f t="array" ref="P39">IFERROR(IF(COUNTIFS(할일표[날짜],N$37,할일표[업무],"&lt;&gt;")&lt;2,"",INDEX(할일표[업무],SMALL(IF((할일표[날짜]=N$37)*(할일표[업무]&lt;&gt;""),ROW(할일표[날짜])-피벗!$T$11),2))),"")</f>
        <v/>
      </c>
      <c r="Q39" s="76" t="str">
        <f t="array" ref="Q39">IFERROR(IF(COUNTIFS(할일표[날짜],N$37,할일표[업무],"&lt;&gt;")&lt;2,"",INDEX(할일표[진행률],SMALL(IF((할일표[날짜]=N$37)*(할일표[업무]&lt;&gt;""),ROW(할일표[날짜])-피벗!$T$11),2))),"")</f>
        <v/>
      </c>
      <c r="R39" s="74" t="str">
        <f t="array" ref="R39">IFERROR(IF(COUNTIFS(할일표[날짜],R$37,할일표[업무],"&lt;&gt;")&lt;2,"",INDEX(구분표[아이콘],MATCH(INDEX(할일표[구분],SMALL(IF((할일표[날짜]=R$37)*(할일표[업무]&lt;&gt;""),ROW(할일표[구분])-ROW(INDEX(할일표[구분],1))+1),2)),구분표[구분],0))),"")</f>
        <v/>
      </c>
      <c r="S39" s="75" t="str">
        <f t="array" ref="S39">IFERROR(IF(COUNTIFS(할일표[날짜],R$37,할일표[업무],"&lt;&gt;")&lt;2,"",INDEX(할일표[표시],SMALL(IF((할일표[날짜]=R$37)*(할일표[업무]&lt;&gt;""),ROW(할일표[표시])-ROW(INDEX(할일표[표시],1))+1),2))),"")</f>
        <v/>
      </c>
      <c r="T39" s="80" t="str">
        <f t="array" ref="T39">IFERROR(IF(COUNTIFS(할일표[날짜],R$37,할일표[업무],"&lt;&gt;")&lt;2,"",INDEX(할일표[업무],SMALL(IF((할일표[날짜]=R$37)*(할일표[업무]&lt;&gt;""),ROW(할일표[날짜])-피벗!$T$11),2))),"")</f>
        <v/>
      </c>
      <c r="U39" s="76" t="str">
        <f t="array" ref="U39">IFERROR(IF(COUNTIFS(할일표[날짜],R$37,할일표[업무],"&lt;&gt;")&lt;2,"",INDEX(할일표[진행률],SMALL(IF((할일표[날짜]=R$37)*(할일표[업무]&lt;&gt;""),ROW(할일표[날짜])-피벗!$T$11),2))),"")</f>
        <v/>
      </c>
      <c r="V39" s="74" t="str">
        <f t="array" ref="V39">IFERROR(IF(COUNTIFS(할일표[날짜],V$37,할일표[업무],"&lt;&gt;")&lt;2,"",INDEX(구분표[아이콘],MATCH(INDEX(할일표[구분],SMALL(IF((할일표[날짜]=V$37)*(할일표[업무]&lt;&gt;""),ROW(할일표[구분])-ROW(INDEX(할일표[구분],1))+1),2)),구분표[구분],0))),"")</f>
        <v/>
      </c>
      <c r="W39" s="75" t="str">
        <f t="array" ref="W39">IFERROR(IF(COUNTIFS(할일표[날짜],V$37,할일표[업무],"&lt;&gt;")&lt;2,"",INDEX(할일표[표시],SMALL(IF((할일표[날짜]=V$37)*(할일표[업무]&lt;&gt;""),ROW(할일표[표시])-ROW(INDEX(할일표[표시],1))+1),2))),"")</f>
        <v/>
      </c>
      <c r="X39" s="80" t="str">
        <f t="array" ref="X39">IFERROR(IF(COUNTIFS(할일표[날짜],V$37,할일표[업무],"&lt;&gt;")&lt;2,"",INDEX(할일표[업무],SMALL(IF((할일표[날짜]=V$37)*(할일표[업무]&lt;&gt;""),ROW(할일표[날짜])-피벗!$T$11),2))),"")</f>
        <v/>
      </c>
      <c r="Y39" s="76" t="str">
        <f t="array" ref="Y39">IFERROR(IF(COUNTIFS(할일표[날짜],V$37,할일표[업무],"&lt;&gt;")&lt;2,"",INDEX(할일표[진행률],SMALL(IF((할일표[날짜]=V$37)*(할일표[업무]&lt;&gt;""),ROW(할일표[날짜])-피벗!$T$11),2))),"")</f>
        <v/>
      </c>
      <c r="Z39" s="74" t="str">
        <f t="array" ref="Z39">IFERROR(IF(COUNTIFS(할일표[날짜],Z$37,할일표[업무],"&lt;&gt;")&lt;2,"",INDEX(구분표[아이콘],MATCH(INDEX(할일표[구분],SMALL(IF((할일표[날짜]=Z$37)*(할일표[업무]&lt;&gt;""),ROW(할일표[구분])-ROW(INDEX(할일표[구분],1))+1),2)),구분표[구분],0))),"")</f>
        <v/>
      </c>
      <c r="AA39" s="75" t="str">
        <f t="array" ref="AA39">IFERROR(IF(COUNTIFS(할일표[날짜],Z$37,할일표[업무],"&lt;&gt;")&lt;2,"",INDEX(할일표[표시],SMALL(IF((할일표[날짜]=Z$37)*(할일표[업무]&lt;&gt;""),ROW(할일표[표시])-ROW(INDEX(할일표[표시],1))+1),2))),"")</f>
        <v/>
      </c>
      <c r="AB39" s="80" t="str">
        <f t="array" ref="AB39">IFERROR(IF(COUNTIFS(할일표[날짜],Z$37,할일표[업무],"&lt;&gt;")&lt;2,"",INDEX(할일표[업무],SMALL(IF((할일표[날짜]=Z$37)*(할일표[업무]&lt;&gt;""),ROW(할일표[날짜])-피벗!$T$11),2))),"")</f>
        <v/>
      </c>
      <c r="AC39" s="76" t="str">
        <f t="array" ref="AC39">IFERROR(IF(COUNTIFS(할일표[날짜],Z$37,할일표[업무],"&lt;&gt;")&lt;2,"",INDEX(할일표[진행률],SMALL(IF((할일표[날짜]=Z$37)*(할일표[업무]&lt;&gt;""),ROW(할일표[날짜])-피벗!$T$11),2))),"")</f>
        <v/>
      </c>
    </row>
    <row r="40" spans="2:43" s="48" customFormat="1" ht="21" customHeight="1" x14ac:dyDescent="0.45">
      <c r="B40" s="74" t="str">
        <f t="array" ref="B40">IFERROR(IF(COUNTIFS(할일표[날짜],B$37,할일표[업무],"&lt;&gt;")&lt;3,"",INDEX(구분표[아이콘],MATCH(INDEX(할일표[구분],SMALL(IF((할일표[날짜]=B$37)*(할일표[업무]&lt;&gt;""),ROW(할일표[구분])-ROW(INDEX(할일표[구분],1))+1),3)),구분표[구분],0))),"")</f>
        <v/>
      </c>
      <c r="C40" s="75" t="str">
        <f t="array" ref="C40">IFERROR(IF(COUNTIFS(할일표[날짜],B$37,할일표[업무],"&lt;&gt;")&lt;3,"",INDEX(할일표[표시],SMALL(IF((할일표[날짜]=B$37)*(할일표[업무]&lt;&gt;""),ROW(할일표[표시])-ROW(INDEX(할일표[표시],1))+1),3))),"")</f>
        <v/>
      </c>
      <c r="D40" s="80" t="str">
        <f t="array" ref="D40">IFERROR(IF(COUNTIFS(할일표[날짜],B$37,할일표[업무],"&lt;&gt;")&lt;3,"",INDEX(할일표[업무],SMALL(IF((할일표[날짜]=B$37)*(할일표[업무]&lt;&gt;""),ROW(할일표[날짜])-피벗!$T$11),3))),"")</f>
        <v/>
      </c>
      <c r="E40" s="76" t="str">
        <f t="array" ref="E40">IFERROR(IF(COUNTIFS(할일표[날짜],B$37,할일표[업무],"&lt;&gt;")&lt;3,"",INDEX(할일표[진행률],SMALL(IF((할일표[날짜]=B$37)*(할일표[업무]&lt;&gt;""),ROW(할일표[날짜])-피벗!$T$11),3))),"")</f>
        <v/>
      </c>
      <c r="F40" s="74" t="str">
        <f t="array" ref="F40">IFERROR(IF(COUNTIFS(할일표[날짜],F$37,할일표[업무],"&lt;&gt;")&lt;3,"",INDEX(구분표[아이콘],MATCH(INDEX(할일표[구분],SMALL(IF((할일표[날짜]=F$37)*(할일표[업무]&lt;&gt;""),ROW(할일표[구분])-ROW(INDEX(할일표[구분],1))+1),3)),구분표[구분],0))),"")</f>
        <v/>
      </c>
      <c r="G40" s="75" t="str">
        <f t="array" ref="G40">IFERROR(IF(COUNTIFS(할일표[날짜],F$37,할일표[업무],"&lt;&gt;")&lt;3,"",INDEX(할일표[표시],SMALL(IF((할일표[날짜]=F$37)*(할일표[업무]&lt;&gt;""),ROW(할일표[표시])-ROW(INDEX(할일표[표시],1))+1),3))),"")</f>
        <v/>
      </c>
      <c r="H40" s="80" t="str">
        <f t="array" ref="H40">IFERROR(IF(COUNTIFS(할일표[날짜],F$37,할일표[업무],"&lt;&gt;")&lt;3,"",INDEX(할일표[업무],SMALL(IF((할일표[날짜]=F$37)*(할일표[업무]&lt;&gt;""),ROW(할일표[날짜])-피벗!$T$11),3))),"")</f>
        <v/>
      </c>
      <c r="I40" s="76" t="str">
        <f t="array" ref="I40">IFERROR(IF(COUNTIFS(할일표[날짜],F$37,할일표[업무],"&lt;&gt;")&lt;3,"",INDEX(할일표[진행률],SMALL(IF((할일표[날짜]=F$37)*(할일표[업무]&lt;&gt;""),ROW(할일표[날짜])-피벗!$T$11),3))),"")</f>
        <v/>
      </c>
      <c r="J40" s="74" t="str">
        <f t="array" ref="J40">IFERROR(IF(COUNTIFS(할일표[날짜],J$37,할일표[업무],"&lt;&gt;")&lt;3,"",INDEX(구분표[아이콘],MATCH(INDEX(할일표[구분],SMALL(IF((할일표[날짜]=J$37)*(할일표[업무]&lt;&gt;""),ROW(할일표[구분])-ROW(INDEX(할일표[구분],1))+1),3)),구분표[구분],0))),"")</f>
        <v/>
      </c>
      <c r="K40" s="75" t="str">
        <f t="array" ref="K40">IFERROR(IF(COUNTIFS(할일표[날짜],J$37,할일표[업무],"&lt;&gt;")&lt;3,"",INDEX(할일표[표시],SMALL(IF((할일표[날짜]=J$37)*(할일표[업무]&lt;&gt;""),ROW(할일표[표시])-ROW(INDEX(할일표[표시],1))+1),3))),"")</f>
        <v/>
      </c>
      <c r="L40" s="80" t="str">
        <f t="array" ref="L40">IFERROR(IF(COUNTIFS(할일표[날짜],J$37,할일표[업무],"&lt;&gt;")&lt;3,"",INDEX(할일표[업무],SMALL(IF((할일표[날짜]=J$37)*(할일표[업무]&lt;&gt;""),ROW(할일표[날짜])-피벗!$T$11),3))),"")</f>
        <v/>
      </c>
      <c r="M40" s="76" t="str">
        <f t="array" ref="M40">IFERROR(IF(COUNTIFS(할일표[날짜],J$37,할일표[업무],"&lt;&gt;")&lt;3,"",INDEX(할일표[진행률],SMALL(IF((할일표[날짜]=J$37)*(할일표[업무]&lt;&gt;""),ROW(할일표[날짜])-피벗!$T$11),3))),"")</f>
        <v/>
      </c>
      <c r="N40" s="74" t="str">
        <f t="array" ref="N40">IFERROR(IF(COUNTIFS(할일표[날짜],N$37,할일표[업무],"&lt;&gt;")&lt;3,"",INDEX(구분표[아이콘],MATCH(INDEX(할일표[구분],SMALL(IF((할일표[날짜]=N$37)*(할일표[업무]&lt;&gt;""),ROW(할일표[구분])-ROW(INDEX(할일표[구분],1))+1),3)),구분표[구분],0))),"")</f>
        <v/>
      </c>
      <c r="O40" s="75" t="str">
        <f t="array" ref="O40">IFERROR(IF(COUNTIFS(할일표[날짜],N$37,할일표[업무],"&lt;&gt;")&lt;3,"",INDEX(할일표[표시],SMALL(IF((할일표[날짜]=N$37)*(할일표[업무]&lt;&gt;""),ROW(할일표[표시])-ROW(INDEX(할일표[표시],1))+1),3))),"")</f>
        <v/>
      </c>
      <c r="P40" s="80" t="str">
        <f t="array" ref="P40">IFERROR(IF(COUNTIFS(할일표[날짜],N$37,할일표[업무],"&lt;&gt;")&lt;3,"",INDEX(할일표[업무],SMALL(IF((할일표[날짜]=N$37)*(할일표[업무]&lt;&gt;""),ROW(할일표[날짜])-피벗!$T$11),3))),"")</f>
        <v/>
      </c>
      <c r="Q40" s="76" t="str">
        <f t="array" ref="Q40">IFERROR(IF(COUNTIFS(할일표[날짜],N$37,할일표[업무],"&lt;&gt;")&lt;3,"",INDEX(할일표[진행률],SMALL(IF((할일표[날짜]=N$37)*(할일표[업무]&lt;&gt;""),ROW(할일표[날짜])-피벗!$T$11),3))),"")</f>
        <v/>
      </c>
      <c r="R40" s="74" t="str">
        <f t="array" ref="R40">IFERROR(IF(COUNTIFS(할일표[날짜],R$37,할일표[업무],"&lt;&gt;")&lt;3,"",INDEX(구분표[아이콘],MATCH(INDEX(할일표[구분],SMALL(IF((할일표[날짜]=R$37)*(할일표[업무]&lt;&gt;""),ROW(할일표[구분])-ROW(INDEX(할일표[구분],1))+1),3)),구분표[구분],0))),"")</f>
        <v/>
      </c>
      <c r="S40" s="75" t="str">
        <f t="array" ref="S40">IFERROR(IF(COUNTIFS(할일표[날짜],R$37,할일표[업무],"&lt;&gt;")&lt;3,"",INDEX(할일표[표시],SMALL(IF((할일표[날짜]=R$37)*(할일표[업무]&lt;&gt;""),ROW(할일표[표시])-ROW(INDEX(할일표[표시],1))+1),3))),"")</f>
        <v/>
      </c>
      <c r="T40" s="80" t="str">
        <f t="array" ref="T40">IFERROR(IF(COUNTIFS(할일표[날짜],R$37,할일표[업무],"&lt;&gt;")&lt;3,"",INDEX(할일표[업무],SMALL(IF((할일표[날짜]=R$37)*(할일표[업무]&lt;&gt;""),ROW(할일표[날짜])-피벗!$T$11),3))),"")</f>
        <v/>
      </c>
      <c r="U40" s="76" t="str">
        <f t="array" ref="U40">IFERROR(IF(COUNTIFS(할일표[날짜],R$37,할일표[업무],"&lt;&gt;")&lt;3,"",INDEX(할일표[진행률],SMALL(IF((할일표[날짜]=R$37)*(할일표[업무]&lt;&gt;""),ROW(할일표[날짜])-피벗!$T$11),3))),"")</f>
        <v/>
      </c>
      <c r="V40" s="74" t="str">
        <f t="array" ref="V40">IFERROR(IF(COUNTIFS(할일표[날짜],V$37,할일표[업무],"&lt;&gt;")&lt;3,"",INDEX(구분표[아이콘],MATCH(INDEX(할일표[구분],SMALL(IF((할일표[날짜]=V$37)*(할일표[업무]&lt;&gt;""),ROW(할일표[구분])-ROW(INDEX(할일표[구분],1))+1),3)),구분표[구분],0))),"")</f>
        <v/>
      </c>
      <c r="W40" s="75" t="str">
        <f t="array" ref="W40">IFERROR(IF(COUNTIFS(할일표[날짜],V$37,할일표[업무],"&lt;&gt;")&lt;3,"",INDEX(할일표[표시],SMALL(IF((할일표[날짜]=V$37)*(할일표[업무]&lt;&gt;""),ROW(할일표[표시])-ROW(INDEX(할일표[표시],1))+1),3))),"")</f>
        <v/>
      </c>
      <c r="X40" s="80" t="str">
        <f t="array" ref="X40">IFERROR(IF(COUNTIFS(할일표[날짜],V$37,할일표[업무],"&lt;&gt;")&lt;3,"",INDEX(할일표[업무],SMALL(IF((할일표[날짜]=V$37)*(할일표[업무]&lt;&gt;""),ROW(할일표[날짜])-피벗!$T$11),3))),"")</f>
        <v/>
      </c>
      <c r="Y40" s="76" t="str">
        <f t="array" ref="Y40">IFERROR(IF(COUNTIFS(할일표[날짜],V$37,할일표[업무],"&lt;&gt;")&lt;3,"",INDEX(할일표[진행률],SMALL(IF((할일표[날짜]=V$37)*(할일표[업무]&lt;&gt;""),ROW(할일표[날짜])-피벗!$T$11),3))),"")</f>
        <v/>
      </c>
      <c r="Z40" s="74" t="str">
        <f t="array" ref="Z40">IFERROR(IF(COUNTIFS(할일표[날짜],Z$37,할일표[업무],"&lt;&gt;")&lt;3,"",INDEX(구분표[아이콘],MATCH(INDEX(할일표[구분],SMALL(IF((할일표[날짜]=Z$37)*(할일표[업무]&lt;&gt;""),ROW(할일표[구분])-ROW(INDEX(할일표[구분],1))+1),3)),구분표[구분],0))),"")</f>
        <v/>
      </c>
      <c r="AA40" s="75" t="str">
        <f t="array" ref="AA40">IFERROR(IF(COUNTIFS(할일표[날짜],Z$37,할일표[업무],"&lt;&gt;")&lt;3,"",INDEX(할일표[표시],SMALL(IF((할일표[날짜]=Z$37)*(할일표[업무]&lt;&gt;""),ROW(할일표[표시])-ROW(INDEX(할일표[표시],1))+1),3))),"")</f>
        <v/>
      </c>
      <c r="AB40" s="80" t="str">
        <f t="array" ref="AB40">IFERROR(IF(COUNTIFS(할일표[날짜],Z$37,할일표[업무],"&lt;&gt;")&lt;3,"",INDEX(할일표[업무],SMALL(IF((할일표[날짜]=Z$37)*(할일표[업무]&lt;&gt;""),ROW(할일표[날짜])-피벗!$T$11),3))),"")</f>
        <v/>
      </c>
      <c r="AC40" s="76" t="str">
        <f t="array" ref="AC40">IFERROR(IF(COUNTIFS(할일표[날짜],Z$37,할일표[업무],"&lt;&gt;")&lt;3,"",INDEX(할일표[진행률],SMALL(IF((할일표[날짜]=Z$37)*(할일표[업무]&lt;&gt;""),ROW(할일표[날짜])-피벗!$T$11),3))),"")</f>
        <v/>
      </c>
    </row>
    <row r="41" spans="2:43" s="48" customFormat="1" ht="21" customHeight="1" x14ac:dyDescent="0.45">
      <c r="B41" s="74" t="str">
        <f t="array" ref="B41">IFERROR(IF(COUNTIFS(할일표[날짜],B$37,할일표[업무],"&lt;&gt;")&lt;4,"",INDEX(구분표[아이콘],MATCH(INDEX(할일표[구분],SMALL(IF((할일표[날짜]=B$37)*(할일표[업무]&lt;&gt;""),ROW(할일표[구분])-ROW(INDEX(할일표[구분],1))+1),4)),구분표[구분],0))),"")</f>
        <v/>
      </c>
      <c r="C41" s="75" t="str">
        <f t="array" ref="C41">IFERROR(IF(COUNTIFS(할일표[날짜],B$37,할일표[업무],"&lt;&gt;")&lt;4,"",INDEX(할일표[표시],SMALL(IF((할일표[날짜]=B$37)*(할일표[업무]&lt;&gt;""),ROW(할일표[표시])-ROW(INDEX(할일표[표시],1))+1),4))),"")</f>
        <v/>
      </c>
      <c r="D41" s="80" t="str">
        <f t="array" ref="D41">IFERROR(IF(COUNTIFS(할일표[날짜],B$37,할일표[업무],"&lt;&gt;")&lt;4,"",INDEX(할일표[업무],SMALL(IF((할일표[날짜]=B$37)*(할일표[업무]&lt;&gt;""),ROW(할일표[날짜])-피벗!$T$11),4))),"")</f>
        <v/>
      </c>
      <c r="E41" s="76" t="str">
        <f t="array" ref="E41">IFERROR(IF(COUNTIFS(할일표[날짜],B$37,할일표[업무],"&lt;&gt;")&lt;4,"",INDEX(할일표[진행률],SMALL(IF((할일표[날짜]=B$37)*(할일표[업무]&lt;&gt;""),ROW(할일표[날짜])-피벗!$T$11),4))),"")</f>
        <v/>
      </c>
      <c r="F41" s="74" t="str">
        <f t="array" ref="F41">IFERROR(IF(COUNTIFS(할일표[날짜],F$37,할일표[업무],"&lt;&gt;")&lt;4,"",INDEX(구분표[아이콘],MATCH(INDEX(할일표[구분],SMALL(IF((할일표[날짜]=F$37)*(할일표[업무]&lt;&gt;""),ROW(할일표[구분])-ROW(INDEX(할일표[구분],1))+1),4)),구분표[구분],0))),"")</f>
        <v/>
      </c>
      <c r="G41" s="75" t="str">
        <f t="array" ref="G41">IFERROR(IF(COUNTIFS(할일표[날짜],F$37,할일표[업무],"&lt;&gt;")&lt;4,"",INDEX(할일표[표시],SMALL(IF((할일표[날짜]=F$37)*(할일표[업무]&lt;&gt;""),ROW(할일표[표시])-ROW(INDEX(할일표[표시],1))+1),4))),"")</f>
        <v/>
      </c>
      <c r="H41" s="80" t="str">
        <f t="array" ref="H41">IFERROR(IF(COUNTIFS(할일표[날짜],F$37,할일표[업무],"&lt;&gt;")&lt;4,"",INDEX(할일표[업무],SMALL(IF((할일표[날짜]=F$37)*(할일표[업무]&lt;&gt;""),ROW(할일표[날짜])-피벗!$T$11),4))),"")</f>
        <v/>
      </c>
      <c r="I41" s="76" t="str">
        <f t="array" ref="I41">IFERROR(IF(COUNTIFS(할일표[날짜],F$37,할일표[업무],"&lt;&gt;")&lt;4,"",INDEX(할일표[진행률],SMALL(IF((할일표[날짜]=F$37)*(할일표[업무]&lt;&gt;""),ROW(할일표[날짜])-피벗!$T$11),4))),"")</f>
        <v/>
      </c>
      <c r="J41" s="74" t="str">
        <f t="array" ref="J41">IFERROR(IF(COUNTIFS(할일표[날짜],J$37,할일표[업무],"&lt;&gt;")&lt;4,"",INDEX(구분표[아이콘],MATCH(INDEX(할일표[구분],SMALL(IF((할일표[날짜]=J$37)*(할일표[업무]&lt;&gt;""),ROW(할일표[구분])-ROW(INDEX(할일표[구분],1))+1),4)),구분표[구분],0))),"")</f>
        <v/>
      </c>
      <c r="K41" s="75" t="str">
        <f t="array" ref="K41">IFERROR(IF(COUNTIFS(할일표[날짜],J$37,할일표[업무],"&lt;&gt;")&lt;4,"",INDEX(할일표[표시],SMALL(IF((할일표[날짜]=J$37)*(할일표[업무]&lt;&gt;""),ROW(할일표[표시])-ROW(INDEX(할일표[표시],1))+1),4))),"")</f>
        <v/>
      </c>
      <c r="L41" s="80" t="str">
        <f t="array" ref="L41">IFERROR(IF(COUNTIFS(할일표[날짜],J$37,할일표[업무],"&lt;&gt;")&lt;4,"",INDEX(할일표[업무],SMALL(IF((할일표[날짜]=J$37)*(할일표[업무]&lt;&gt;""),ROW(할일표[날짜])-피벗!$T$11),4))),"")</f>
        <v/>
      </c>
      <c r="M41" s="76" t="str">
        <f t="array" ref="M41">IFERROR(IF(COUNTIFS(할일표[날짜],J$37,할일표[업무],"&lt;&gt;")&lt;4,"",INDEX(할일표[진행률],SMALL(IF((할일표[날짜]=J$37)*(할일표[업무]&lt;&gt;""),ROW(할일표[날짜])-피벗!$T$11),4))),"")</f>
        <v/>
      </c>
      <c r="N41" s="74" t="str">
        <f t="array" ref="N41">IFERROR(IF(COUNTIFS(할일표[날짜],N$37,할일표[업무],"&lt;&gt;")&lt;4,"",INDEX(구분표[아이콘],MATCH(INDEX(할일표[구분],SMALL(IF((할일표[날짜]=N$37)*(할일표[업무]&lt;&gt;""),ROW(할일표[구분])-ROW(INDEX(할일표[구분],1))+1),4)),구분표[구분],0))),"")</f>
        <v/>
      </c>
      <c r="O41" s="75" t="str">
        <f t="array" ref="O41">IFERROR(IF(COUNTIFS(할일표[날짜],N$37,할일표[업무],"&lt;&gt;")&lt;4,"",INDEX(할일표[표시],SMALL(IF((할일표[날짜]=N$37)*(할일표[업무]&lt;&gt;""),ROW(할일표[표시])-ROW(INDEX(할일표[표시],1))+1),4))),"")</f>
        <v/>
      </c>
      <c r="P41" s="80" t="str">
        <f t="array" ref="P41">IFERROR(IF(COUNTIFS(할일표[날짜],N$37,할일표[업무],"&lt;&gt;")&lt;4,"",INDEX(할일표[업무],SMALL(IF((할일표[날짜]=N$37)*(할일표[업무]&lt;&gt;""),ROW(할일표[날짜])-피벗!$T$11),4))),"")</f>
        <v/>
      </c>
      <c r="Q41" s="76" t="str">
        <f t="array" ref="Q41">IFERROR(IF(COUNTIFS(할일표[날짜],N$37,할일표[업무],"&lt;&gt;")&lt;4,"",INDEX(할일표[진행률],SMALL(IF((할일표[날짜]=N$37)*(할일표[업무]&lt;&gt;""),ROW(할일표[날짜])-피벗!$T$11),4))),"")</f>
        <v/>
      </c>
      <c r="R41" s="74" t="str">
        <f t="array" ref="R41">IFERROR(IF(COUNTIFS(할일표[날짜],R$37,할일표[업무],"&lt;&gt;")&lt;4,"",INDEX(구분표[아이콘],MATCH(INDEX(할일표[구분],SMALL(IF((할일표[날짜]=R$37)*(할일표[업무]&lt;&gt;""),ROW(할일표[구분])-ROW(INDEX(할일표[구분],1))+1),4)),구분표[구분],0))),"")</f>
        <v/>
      </c>
      <c r="S41" s="75" t="str">
        <f t="array" ref="S41">IFERROR(IF(COUNTIFS(할일표[날짜],R$37,할일표[업무],"&lt;&gt;")&lt;4,"",INDEX(할일표[표시],SMALL(IF((할일표[날짜]=R$37)*(할일표[업무]&lt;&gt;""),ROW(할일표[표시])-ROW(INDEX(할일표[표시],1))+1),4))),"")</f>
        <v/>
      </c>
      <c r="T41" s="80" t="str">
        <f t="array" ref="T41">IFERROR(IF(COUNTIFS(할일표[날짜],R$37,할일표[업무],"&lt;&gt;")&lt;4,"",INDEX(할일표[업무],SMALL(IF((할일표[날짜]=R$37)*(할일표[업무]&lt;&gt;""),ROW(할일표[날짜])-피벗!$T$11),4))),"")</f>
        <v/>
      </c>
      <c r="U41" s="76" t="str">
        <f t="array" ref="U41">IFERROR(IF(COUNTIFS(할일표[날짜],R$37,할일표[업무],"&lt;&gt;")&lt;4,"",INDEX(할일표[진행률],SMALL(IF((할일표[날짜]=R$37)*(할일표[업무]&lt;&gt;""),ROW(할일표[날짜])-피벗!$T$11),4))),"")</f>
        <v/>
      </c>
      <c r="V41" s="74" t="str">
        <f t="array" ref="V41">IFERROR(IF(COUNTIFS(할일표[날짜],V$37,할일표[업무],"&lt;&gt;")&lt;4,"",INDEX(구분표[아이콘],MATCH(INDEX(할일표[구분],SMALL(IF((할일표[날짜]=V$37)*(할일표[업무]&lt;&gt;""),ROW(할일표[구분])-ROW(INDEX(할일표[구분],1))+1),4)),구분표[구분],0))),"")</f>
        <v/>
      </c>
      <c r="W41" s="75" t="str">
        <f t="array" ref="W41">IFERROR(IF(COUNTIFS(할일표[날짜],V$37,할일표[업무],"&lt;&gt;")&lt;4,"",INDEX(할일표[표시],SMALL(IF((할일표[날짜]=V$37)*(할일표[업무]&lt;&gt;""),ROW(할일표[표시])-ROW(INDEX(할일표[표시],1))+1),4))),"")</f>
        <v/>
      </c>
      <c r="X41" s="80" t="str">
        <f t="array" ref="X41">IFERROR(IF(COUNTIFS(할일표[날짜],V$37,할일표[업무],"&lt;&gt;")&lt;4,"",INDEX(할일표[업무],SMALL(IF((할일표[날짜]=V$37)*(할일표[업무]&lt;&gt;""),ROW(할일표[날짜])-피벗!$T$11),4))),"")</f>
        <v/>
      </c>
      <c r="Y41" s="76" t="str">
        <f t="array" ref="Y41">IFERROR(IF(COUNTIFS(할일표[날짜],V$37,할일표[업무],"&lt;&gt;")&lt;4,"",INDEX(할일표[진행률],SMALL(IF((할일표[날짜]=V$37)*(할일표[업무]&lt;&gt;""),ROW(할일표[날짜])-피벗!$T$11),4))),"")</f>
        <v/>
      </c>
      <c r="Z41" s="74" t="str">
        <f t="array" ref="Z41">IFERROR(IF(COUNTIFS(할일표[날짜],Z$37,할일표[업무],"&lt;&gt;")&lt;4,"",INDEX(구분표[아이콘],MATCH(INDEX(할일표[구분],SMALL(IF((할일표[날짜]=Z$37)*(할일표[업무]&lt;&gt;""),ROW(할일표[구분])-ROW(INDEX(할일표[구분],1))+1),4)),구분표[구분],0))),"")</f>
        <v/>
      </c>
      <c r="AA41" s="75" t="str">
        <f t="array" ref="AA41">IFERROR(IF(COUNTIFS(할일표[날짜],Z$37,할일표[업무],"&lt;&gt;")&lt;4,"",INDEX(할일표[표시],SMALL(IF((할일표[날짜]=Z$37)*(할일표[업무]&lt;&gt;""),ROW(할일표[표시])-ROW(INDEX(할일표[표시],1))+1),4))),"")</f>
        <v/>
      </c>
      <c r="AB41" s="80" t="str">
        <f t="array" ref="AB41">IFERROR(IF(COUNTIFS(할일표[날짜],Z$37,할일표[업무],"&lt;&gt;")&lt;4,"",INDEX(할일표[업무],SMALL(IF((할일표[날짜]=Z$37)*(할일표[업무]&lt;&gt;""),ROW(할일표[날짜])-피벗!$T$11),4))),"")</f>
        <v/>
      </c>
      <c r="AC41" s="76" t="str">
        <f t="array" ref="AC41">IFERROR(IF(COUNTIFS(할일표[날짜],Z$37,할일표[업무],"&lt;&gt;")&lt;4,"",INDEX(할일표[진행률],SMALL(IF((할일표[날짜]=Z$37)*(할일표[업무]&lt;&gt;""),ROW(할일표[날짜])-피벗!$T$11),4))),"")</f>
        <v/>
      </c>
    </row>
    <row r="42" spans="2:43" s="48" customFormat="1" ht="21" customHeight="1" x14ac:dyDescent="0.45">
      <c r="B42" s="74" t="str">
        <f t="array" ref="B42">IFERROR(IF(COUNTIFS(할일표[날짜],B$37,할일표[업무],"&lt;&gt;")&lt;5,"",INDEX(구분표[아이콘],MATCH(INDEX(할일표[구분],SMALL(IF((할일표[날짜]=B$37)*(할일표[업무]&lt;&gt;""),ROW(할일표[구분])-ROW(INDEX(할일표[구분],1))+1),5)),구분표[구분],0))),"")</f>
        <v/>
      </c>
      <c r="C42" s="75" t="str">
        <f t="array" ref="C42">IFERROR(IF(COUNTIFS(할일표[날짜],B$37,할일표[업무],"&lt;&gt;")&lt;5,"",INDEX(할일표[표시],SMALL(IF((할일표[날짜]=B$37)*(할일표[업무]&lt;&gt;""),ROW(할일표[표시])-ROW(INDEX(할일표[표시],1))+1),5))),"")</f>
        <v/>
      </c>
      <c r="D42" s="80" t="str">
        <f t="array" ref="D42">IFERROR(IF(COUNTIFS(할일표[날짜],B$37,할일표[업무],"&lt;&gt;")&lt;5,"",INDEX(할일표[업무],SMALL(IF((할일표[날짜]=B$37)*(할일표[업무]&lt;&gt;""),ROW(할일표[날짜])-피벗!$T$11),5))),"")</f>
        <v/>
      </c>
      <c r="E42" s="76" t="str">
        <f t="array" ref="E42">IFERROR(IF(COUNTIFS(할일표[날짜],B$37,할일표[업무],"&lt;&gt;")&lt;5,"",INDEX(할일표[진행률],SMALL(IF((할일표[날짜]=B$37)*(할일표[업무]&lt;&gt;""),ROW(할일표[날짜])-피벗!$T$11),5))),"")</f>
        <v/>
      </c>
      <c r="F42" s="74" t="str">
        <f t="array" ref="F42">IFERROR(IF(COUNTIFS(할일표[날짜],F$37,할일표[업무],"&lt;&gt;")&lt;5,"",INDEX(구분표[아이콘],MATCH(INDEX(할일표[구분],SMALL(IF((할일표[날짜]=F$37)*(할일표[업무]&lt;&gt;""),ROW(할일표[구분])-ROW(INDEX(할일표[구분],1))+1),5)),구분표[구분],0))),"")</f>
        <v/>
      </c>
      <c r="G42" s="75" t="str">
        <f t="array" ref="G42">IFERROR(IF(COUNTIFS(할일표[날짜],F$37,할일표[업무],"&lt;&gt;")&lt;5,"",INDEX(할일표[표시],SMALL(IF((할일표[날짜]=F$37)*(할일표[업무]&lt;&gt;""),ROW(할일표[표시])-ROW(INDEX(할일표[표시],1))+1),5))),"")</f>
        <v/>
      </c>
      <c r="H42" s="80" t="str">
        <f t="array" ref="H42">IFERROR(IF(COUNTIFS(할일표[날짜],F$37,할일표[업무],"&lt;&gt;")&lt;5,"",INDEX(할일표[업무],SMALL(IF((할일표[날짜]=F$37)*(할일표[업무]&lt;&gt;""),ROW(할일표[날짜])-피벗!$T$11),5))),"")</f>
        <v/>
      </c>
      <c r="I42" s="76" t="str">
        <f t="array" ref="I42">IFERROR(IF(COUNTIFS(할일표[날짜],F$37,할일표[업무],"&lt;&gt;")&lt;5,"",INDEX(할일표[진행률],SMALL(IF((할일표[날짜]=F$37)*(할일표[업무]&lt;&gt;""),ROW(할일표[날짜])-피벗!$T$11),5))),"")</f>
        <v/>
      </c>
      <c r="J42" s="74" t="str">
        <f t="array" ref="J42">IFERROR(IF(COUNTIFS(할일표[날짜],J$37,할일표[업무],"&lt;&gt;")&lt;5,"",INDEX(구분표[아이콘],MATCH(INDEX(할일표[구분],SMALL(IF((할일표[날짜]=J$37)*(할일표[업무]&lt;&gt;""),ROW(할일표[구분])-ROW(INDEX(할일표[구분],1))+1),5)),구분표[구분],0))),"")</f>
        <v/>
      </c>
      <c r="K42" s="75" t="str">
        <f t="array" ref="K42">IFERROR(IF(COUNTIFS(할일표[날짜],J$37,할일표[업무],"&lt;&gt;")&lt;5,"",INDEX(할일표[표시],SMALL(IF((할일표[날짜]=J$37)*(할일표[업무]&lt;&gt;""),ROW(할일표[표시])-ROW(INDEX(할일표[표시],1))+1),5))),"")</f>
        <v/>
      </c>
      <c r="L42" s="80" t="str">
        <f t="array" ref="L42">IFERROR(IF(COUNTIFS(할일표[날짜],J$37,할일표[업무],"&lt;&gt;")&lt;5,"",INDEX(할일표[업무],SMALL(IF((할일표[날짜]=J$37)*(할일표[업무]&lt;&gt;""),ROW(할일표[날짜])-피벗!$T$11),5))),"")</f>
        <v/>
      </c>
      <c r="M42" s="76" t="str">
        <f t="array" ref="M42">IFERROR(IF(COUNTIFS(할일표[날짜],J$37,할일표[업무],"&lt;&gt;")&lt;5,"",INDEX(할일표[진행률],SMALL(IF((할일표[날짜]=J$37)*(할일표[업무]&lt;&gt;""),ROW(할일표[날짜])-피벗!$T$11),5))),"")</f>
        <v/>
      </c>
      <c r="N42" s="74" t="str">
        <f t="array" ref="N42">IFERROR(IF(COUNTIFS(할일표[날짜],N$37,할일표[업무],"&lt;&gt;")&lt;5,"",INDEX(구분표[아이콘],MATCH(INDEX(할일표[구분],SMALL(IF((할일표[날짜]=N$37)*(할일표[업무]&lt;&gt;""),ROW(할일표[구분])-ROW(INDEX(할일표[구분],1))+1),5)),구분표[구분],0))),"")</f>
        <v/>
      </c>
      <c r="O42" s="75" t="str">
        <f t="array" ref="O42">IFERROR(IF(COUNTIFS(할일표[날짜],N$37,할일표[업무],"&lt;&gt;")&lt;5,"",INDEX(할일표[표시],SMALL(IF((할일표[날짜]=N$37)*(할일표[업무]&lt;&gt;""),ROW(할일표[표시])-ROW(INDEX(할일표[표시],1))+1),5))),"")</f>
        <v/>
      </c>
      <c r="P42" s="80" t="str">
        <f t="array" ref="P42">IFERROR(IF(COUNTIFS(할일표[날짜],N$37,할일표[업무],"&lt;&gt;")&lt;5,"",INDEX(할일표[업무],SMALL(IF((할일표[날짜]=N$37)*(할일표[업무]&lt;&gt;""),ROW(할일표[날짜])-피벗!$T$11),5))),"")</f>
        <v/>
      </c>
      <c r="Q42" s="76" t="str">
        <f t="array" ref="Q42">IFERROR(IF(COUNTIFS(할일표[날짜],N$37,할일표[업무],"&lt;&gt;")&lt;5,"",INDEX(할일표[진행률],SMALL(IF((할일표[날짜]=N$37)*(할일표[업무]&lt;&gt;""),ROW(할일표[날짜])-피벗!$T$11),5))),"")</f>
        <v/>
      </c>
      <c r="R42" s="74" t="str">
        <f t="array" ref="R42">IFERROR(IF(COUNTIFS(할일표[날짜],R$37,할일표[업무],"&lt;&gt;")&lt;5,"",INDEX(구분표[아이콘],MATCH(INDEX(할일표[구분],SMALL(IF((할일표[날짜]=R$37)*(할일표[업무]&lt;&gt;""),ROW(할일표[구분])-ROW(INDEX(할일표[구분],1))+1),5)),구분표[구분],0))),"")</f>
        <v/>
      </c>
      <c r="S42" s="75" t="str">
        <f t="array" ref="S42">IFERROR(IF(COUNTIFS(할일표[날짜],R$37,할일표[업무],"&lt;&gt;")&lt;5,"",INDEX(할일표[표시],SMALL(IF((할일표[날짜]=R$37)*(할일표[업무]&lt;&gt;""),ROW(할일표[표시])-ROW(INDEX(할일표[표시],1))+1),5))),"")</f>
        <v/>
      </c>
      <c r="T42" s="80" t="str">
        <f t="array" ref="T42">IFERROR(IF(COUNTIFS(할일표[날짜],R$37,할일표[업무],"&lt;&gt;")&lt;5,"",INDEX(할일표[업무],SMALL(IF((할일표[날짜]=R$37)*(할일표[업무]&lt;&gt;""),ROW(할일표[날짜])-피벗!$T$11),5))),"")</f>
        <v/>
      </c>
      <c r="U42" s="76" t="str">
        <f t="array" ref="U42">IFERROR(IF(COUNTIFS(할일표[날짜],R$37,할일표[업무],"&lt;&gt;")&lt;5,"",INDEX(할일표[진행률],SMALL(IF((할일표[날짜]=R$37)*(할일표[업무]&lt;&gt;""),ROW(할일표[날짜])-피벗!$T$11),5))),"")</f>
        <v/>
      </c>
      <c r="V42" s="74" t="str">
        <f t="array" ref="V42">IFERROR(IF(COUNTIFS(할일표[날짜],V$37,할일표[업무],"&lt;&gt;")&lt;5,"",INDEX(구분표[아이콘],MATCH(INDEX(할일표[구분],SMALL(IF((할일표[날짜]=V$37)*(할일표[업무]&lt;&gt;""),ROW(할일표[구분])-ROW(INDEX(할일표[구분],1))+1),5)),구분표[구분],0))),"")</f>
        <v/>
      </c>
      <c r="W42" s="75" t="str">
        <f t="array" ref="W42">IFERROR(IF(COUNTIFS(할일표[날짜],V$37,할일표[업무],"&lt;&gt;")&lt;5,"",INDEX(할일표[표시],SMALL(IF((할일표[날짜]=V$37)*(할일표[업무]&lt;&gt;""),ROW(할일표[표시])-ROW(INDEX(할일표[표시],1))+1),5))),"")</f>
        <v/>
      </c>
      <c r="X42" s="80" t="str">
        <f t="array" ref="X42">IFERROR(IF(COUNTIFS(할일표[날짜],V$37,할일표[업무],"&lt;&gt;")&lt;5,"",INDEX(할일표[업무],SMALL(IF((할일표[날짜]=V$37)*(할일표[업무]&lt;&gt;""),ROW(할일표[날짜])-피벗!$T$11),5))),"")</f>
        <v/>
      </c>
      <c r="Y42" s="76" t="str">
        <f t="array" ref="Y42">IFERROR(IF(COUNTIFS(할일표[날짜],V$37,할일표[업무],"&lt;&gt;")&lt;5,"",INDEX(할일표[진행률],SMALL(IF((할일표[날짜]=V$37)*(할일표[업무]&lt;&gt;""),ROW(할일표[날짜])-피벗!$T$11),5))),"")</f>
        <v/>
      </c>
      <c r="Z42" s="74" t="str">
        <f t="array" ref="Z42">IFERROR(IF(COUNTIFS(할일표[날짜],Z$37,할일표[업무],"&lt;&gt;")&lt;5,"",INDEX(구분표[아이콘],MATCH(INDEX(할일표[구분],SMALL(IF((할일표[날짜]=Z$37)*(할일표[업무]&lt;&gt;""),ROW(할일표[구분])-ROW(INDEX(할일표[구분],1))+1),5)),구분표[구분],0))),"")</f>
        <v/>
      </c>
      <c r="AA42" s="75" t="str">
        <f t="array" ref="AA42">IFERROR(IF(COUNTIFS(할일표[날짜],Z$37,할일표[업무],"&lt;&gt;")&lt;5,"",INDEX(할일표[표시],SMALL(IF((할일표[날짜]=Z$37)*(할일표[업무]&lt;&gt;""),ROW(할일표[표시])-ROW(INDEX(할일표[표시],1))+1),5))),"")</f>
        <v/>
      </c>
      <c r="AB42" s="80" t="str">
        <f t="array" ref="AB42">IFERROR(IF(COUNTIFS(할일표[날짜],Z$37,할일표[업무],"&lt;&gt;")&lt;5,"",INDEX(할일표[업무],SMALL(IF((할일표[날짜]=Z$37)*(할일표[업무]&lt;&gt;""),ROW(할일표[날짜])-피벗!$T$11),5))),"")</f>
        <v/>
      </c>
      <c r="AC42" s="76" t="str">
        <f t="array" ref="AC42">IFERROR(IF(COUNTIFS(할일표[날짜],Z$37,할일표[업무],"&lt;&gt;")&lt;5,"",INDEX(할일표[진행률],SMALL(IF((할일표[날짜]=Z$37)*(할일표[업무]&lt;&gt;""),ROW(할일표[날짜])-피벗!$T$11),5))),"")</f>
        <v/>
      </c>
    </row>
    <row r="43" spans="2:43" s="48" customFormat="1" ht="21" customHeight="1" x14ac:dyDescent="0.45">
      <c r="B43" s="74" t="str">
        <f t="array" ref="B43">IFERROR(IF(COUNTIFS(할일표[날짜],B$37,할일표[업무],"&lt;&gt;")&lt;6,"",INDEX(구분표[아이콘],MATCH(INDEX(할일표[구분],SMALL(IF((할일표[날짜]=B$37)*(할일표[업무]&lt;&gt;""),ROW(할일표[구분])-ROW(INDEX(할일표[구분],1))+1),6)),구분표[구분],0))),"")</f>
        <v/>
      </c>
      <c r="C43" s="75" t="str">
        <f t="array" ref="C43">IFERROR(IF(COUNTIFS(할일표[날짜],B$37,할일표[업무],"&lt;&gt;")&lt;6,"",INDEX(할일표[표시],SMALL(IF((할일표[날짜]=B$37)*(할일표[업무]&lt;&gt;""),ROW(할일표[표시])-ROW(INDEX(할일표[표시],1))+1),6))),"")</f>
        <v/>
      </c>
      <c r="D43" s="80" t="str">
        <f t="array" ref="D43">IFERROR(IF(COUNTIFS(할일표[날짜],B$37,할일표[업무],"&lt;&gt;")&lt;6,"",INDEX(할일표[업무],SMALL(IF((할일표[날짜]=B$37)*(할일표[업무]&lt;&gt;""),ROW(할일표[날짜])-피벗!$T$11),6))),"")</f>
        <v/>
      </c>
      <c r="E43" s="76" t="str">
        <f t="array" ref="E43">IFERROR(IF(COUNTIFS(할일표[날짜],B$37,할일표[업무],"&lt;&gt;")&lt;6,"",INDEX(할일표[진행률],SMALL(IF((할일표[날짜]=B$37)*(할일표[업무]&lt;&gt;""),ROW(할일표[날짜])-피벗!$T$11),6))),"")</f>
        <v/>
      </c>
      <c r="F43" s="74" t="str">
        <f t="array" ref="F43">IFERROR(IF(COUNTIFS(할일표[날짜],F$37,할일표[업무],"&lt;&gt;")&lt;6,"",INDEX(구분표[아이콘],MATCH(INDEX(할일표[구분],SMALL(IF((할일표[날짜]=F$37)*(할일표[업무]&lt;&gt;""),ROW(할일표[구분])-ROW(INDEX(할일표[구분],1))+1),6)),구분표[구분],0))),"")</f>
        <v/>
      </c>
      <c r="G43" s="75" t="str">
        <f t="array" ref="G43">IFERROR(IF(COUNTIFS(할일표[날짜],F$37,할일표[업무],"&lt;&gt;")&lt;6,"",INDEX(할일표[표시],SMALL(IF((할일표[날짜]=F$37)*(할일표[업무]&lt;&gt;""),ROW(할일표[표시])-ROW(INDEX(할일표[표시],1))+1),6))),"")</f>
        <v/>
      </c>
      <c r="H43" s="80" t="str">
        <f t="array" ref="H43">IFERROR(IF(COUNTIFS(할일표[날짜],F$37,할일표[업무],"&lt;&gt;")&lt;6,"",INDEX(할일표[업무],SMALL(IF((할일표[날짜]=F$37)*(할일표[업무]&lt;&gt;""),ROW(할일표[날짜])-피벗!$T$11),6))),"")</f>
        <v/>
      </c>
      <c r="I43" s="76" t="str">
        <f t="array" ref="I43">IFERROR(IF(COUNTIFS(할일표[날짜],F$37,할일표[업무],"&lt;&gt;")&lt;6,"",INDEX(할일표[진행률],SMALL(IF((할일표[날짜]=F$37)*(할일표[업무]&lt;&gt;""),ROW(할일표[날짜])-피벗!$T$11),6))),"")</f>
        <v/>
      </c>
      <c r="J43" s="74" t="str">
        <f t="array" ref="J43">IFERROR(IF(COUNTIFS(할일표[날짜],J$37,할일표[업무],"&lt;&gt;")&lt;6,"",INDEX(구분표[아이콘],MATCH(INDEX(할일표[구분],SMALL(IF((할일표[날짜]=J$37)*(할일표[업무]&lt;&gt;""),ROW(할일표[구분])-ROW(INDEX(할일표[구분],1))+1),6)),구분표[구분],0))),"")</f>
        <v/>
      </c>
      <c r="K43" s="75" t="str">
        <f t="array" ref="K43">IFERROR(IF(COUNTIFS(할일표[날짜],J$37,할일표[업무],"&lt;&gt;")&lt;6,"",INDEX(할일표[표시],SMALL(IF((할일표[날짜]=J$37)*(할일표[업무]&lt;&gt;""),ROW(할일표[표시])-ROW(INDEX(할일표[표시],1))+1),6))),"")</f>
        <v/>
      </c>
      <c r="L43" s="80" t="str">
        <f t="array" ref="L43">IFERROR(IF(COUNTIFS(할일표[날짜],J$37,할일표[업무],"&lt;&gt;")&lt;6,"",INDEX(할일표[업무],SMALL(IF((할일표[날짜]=J$37)*(할일표[업무]&lt;&gt;""),ROW(할일표[날짜])-피벗!$T$11),6))),"")</f>
        <v/>
      </c>
      <c r="M43" s="76" t="str">
        <f t="array" ref="M43">IFERROR(IF(COUNTIFS(할일표[날짜],J$37,할일표[업무],"&lt;&gt;")&lt;6,"",INDEX(할일표[진행률],SMALL(IF((할일표[날짜]=J$37)*(할일표[업무]&lt;&gt;""),ROW(할일표[날짜])-피벗!$T$11),6))),"")</f>
        <v/>
      </c>
      <c r="N43" s="74" t="str">
        <f t="array" ref="N43">IFERROR(IF(COUNTIFS(할일표[날짜],N$37,할일표[업무],"&lt;&gt;")&lt;6,"",INDEX(구분표[아이콘],MATCH(INDEX(할일표[구분],SMALL(IF((할일표[날짜]=N$37)*(할일표[업무]&lt;&gt;""),ROW(할일표[구분])-ROW(INDEX(할일표[구분],1))+1),6)),구분표[구분],0))),"")</f>
        <v/>
      </c>
      <c r="O43" s="75" t="str">
        <f t="array" ref="O43">IFERROR(IF(COUNTIFS(할일표[날짜],N$37,할일표[업무],"&lt;&gt;")&lt;6,"",INDEX(할일표[표시],SMALL(IF((할일표[날짜]=N$37)*(할일표[업무]&lt;&gt;""),ROW(할일표[표시])-ROW(INDEX(할일표[표시],1))+1),6))),"")</f>
        <v/>
      </c>
      <c r="P43" s="80" t="str">
        <f t="array" ref="P43">IFERROR(IF(COUNTIFS(할일표[날짜],N$37,할일표[업무],"&lt;&gt;")&lt;6,"",INDEX(할일표[업무],SMALL(IF((할일표[날짜]=N$37)*(할일표[업무]&lt;&gt;""),ROW(할일표[날짜])-피벗!$T$11),6))),"")</f>
        <v/>
      </c>
      <c r="Q43" s="76" t="str">
        <f t="array" ref="Q43">IFERROR(IF(COUNTIFS(할일표[날짜],N$37,할일표[업무],"&lt;&gt;")&lt;6,"",INDEX(할일표[진행률],SMALL(IF((할일표[날짜]=N$37)*(할일표[업무]&lt;&gt;""),ROW(할일표[날짜])-피벗!$T$11),6))),"")</f>
        <v/>
      </c>
      <c r="R43" s="74" t="str">
        <f t="array" ref="R43">IFERROR(IF(COUNTIFS(할일표[날짜],R$37,할일표[업무],"&lt;&gt;")&lt;6,"",INDEX(구분표[아이콘],MATCH(INDEX(할일표[구분],SMALL(IF((할일표[날짜]=R$37)*(할일표[업무]&lt;&gt;""),ROW(할일표[구분])-ROW(INDEX(할일표[구분],1))+1),6)),구분표[구분],0))),"")</f>
        <v/>
      </c>
      <c r="S43" s="75" t="str">
        <f t="array" ref="S43">IFERROR(IF(COUNTIFS(할일표[날짜],R$37,할일표[업무],"&lt;&gt;")&lt;6,"",INDEX(할일표[표시],SMALL(IF((할일표[날짜]=R$37)*(할일표[업무]&lt;&gt;""),ROW(할일표[표시])-ROW(INDEX(할일표[표시],1))+1),6))),"")</f>
        <v/>
      </c>
      <c r="T43" s="80" t="str">
        <f t="array" ref="T43">IFERROR(IF(COUNTIFS(할일표[날짜],R$37,할일표[업무],"&lt;&gt;")&lt;6,"",INDEX(할일표[업무],SMALL(IF((할일표[날짜]=R$37)*(할일표[업무]&lt;&gt;""),ROW(할일표[날짜])-피벗!$T$11),6))),"")</f>
        <v/>
      </c>
      <c r="U43" s="76" t="str">
        <f t="array" ref="U43">IFERROR(IF(COUNTIFS(할일표[날짜],R$37,할일표[업무],"&lt;&gt;")&lt;6,"",INDEX(할일표[진행률],SMALL(IF((할일표[날짜]=R$37)*(할일표[업무]&lt;&gt;""),ROW(할일표[날짜])-피벗!$T$11),6))),"")</f>
        <v/>
      </c>
      <c r="V43" s="74" t="str">
        <f t="array" ref="V43">IFERROR(IF(COUNTIFS(할일표[날짜],V$37,할일표[업무],"&lt;&gt;")&lt;6,"",INDEX(구분표[아이콘],MATCH(INDEX(할일표[구분],SMALL(IF((할일표[날짜]=V$37)*(할일표[업무]&lt;&gt;""),ROW(할일표[구분])-ROW(INDEX(할일표[구분],1))+1),6)),구분표[구분],0))),"")</f>
        <v/>
      </c>
      <c r="W43" s="75" t="str">
        <f t="array" ref="W43">IFERROR(IF(COUNTIFS(할일표[날짜],V$37,할일표[업무],"&lt;&gt;")&lt;6,"",INDEX(할일표[표시],SMALL(IF((할일표[날짜]=V$37)*(할일표[업무]&lt;&gt;""),ROW(할일표[표시])-ROW(INDEX(할일표[표시],1))+1),6))),"")</f>
        <v/>
      </c>
      <c r="X43" s="80" t="str">
        <f t="array" ref="X43">IFERROR(IF(COUNTIFS(할일표[날짜],V$37,할일표[업무],"&lt;&gt;")&lt;6,"",INDEX(할일표[업무],SMALL(IF((할일표[날짜]=V$37)*(할일표[업무]&lt;&gt;""),ROW(할일표[날짜])-피벗!$T$11),6))),"")</f>
        <v/>
      </c>
      <c r="Y43" s="76" t="str">
        <f t="array" ref="Y43">IFERROR(IF(COUNTIFS(할일표[날짜],V$37,할일표[업무],"&lt;&gt;")&lt;6,"",INDEX(할일표[진행률],SMALL(IF((할일표[날짜]=V$37)*(할일표[업무]&lt;&gt;""),ROW(할일표[날짜])-피벗!$T$11),6))),"")</f>
        <v/>
      </c>
      <c r="Z43" s="74" t="str">
        <f t="array" ref="Z43">IFERROR(IF(COUNTIFS(할일표[날짜],Z$37,할일표[업무],"&lt;&gt;")&lt;6,"",INDEX(구분표[아이콘],MATCH(INDEX(할일표[구분],SMALL(IF((할일표[날짜]=Z$37)*(할일표[업무]&lt;&gt;""),ROW(할일표[구분])-ROW(INDEX(할일표[구분],1))+1),6)),구분표[구분],0))),"")</f>
        <v/>
      </c>
      <c r="AA43" s="75" t="str">
        <f t="array" ref="AA43">IFERROR(IF(COUNTIFS(할일표[날짜],Z$37,할일표[업무],"&lt;&gt;")&lt;6,"",INDEX(할일표[표시],SMALL(IF((할일표[날짜]=Z$37)*(할일표[업무]&lt;&gt;""),ROW(할일표[표시])-ROW(INDEX(할일표[표시],1))+1),6))),"")</f>
        <v/>
      </c>
      <c r="AB43" s="80" t="str">
        <f t="array" ref="AB43">IFERROR(IF(COUNTIFS(할일표[날짜],Z$37,할일표[업무],"&lt;&gt;")&lt;6,"",INDEX(할일표[업무],SMALL(IF((할일표[날짜]=Z$37)*(할일표[업무]&lt;&gt;""),ROW(할일표[날짜])-피벗!$T$11),6))),"")</f>
        <v/>
      </c>
      <c r="AC43" s="76" t="str">
        <f t="array" ref="AC43">IFERROR(IF(COUNTIFS(할일표[날짜],Z$37,할일표[업무],"&lt;&gt;")&lt;6,"",INDEX(할일표[진행률],SMALL(IF((할일표[날짜]=Z$37)*(할일표[업무]&lt;&gt;""),ROW(할일표[날짜])-피벗!$T$11),6))),"")</f>
        <v/>
      </c>
    </row>
    <row r="44" spans="2:43" s="48" customFormat="1" ht="21" customHeight="1" x14ac:dyDescent="0.45">
      <c r="B44" s="74" t="str">
        <f t="array" ref="B44">IFERROR(IF(COUNTIFS(할일표[날짜],B$37,할일표[업무],"&lt;&gt;")&lt;7,"",INDEX(구분표[아이콘],MATCH(INDEX(할일표[구분],SMALL(IF((할일표[날짜]=B$37)*(할일표[업무]&lt;&gt;""),ROW(할일표[구분])-ROW(INDEX(할일표[구분],1))+1),7)),구분표[구분],0))),"")</f>
        <v/>
      </c>
      <c r="C44" s="75" t="str">
        <f t="array" ref="C44">IFERROR(IF(COUNTIFS(할일표[날짜],B$37,할일표[업무],"&lt;&gt;")&lt;7,"",INDEX(할일표[표시],SMALL(IF((할일표[날짜]=B$37)*(할일표[업무]&lt;&gt;""),ROW(할일표[표시])-ROW(INDEX(할일표[표시],1))+1),7))),"")</f>
        <v/>
      </c>
      <c r="D44" s="80" t="str">
        <f t="array" ref="D44">IFERROR(IF(COUNTIFS(할일표[날짜],B$37,할일표[업무],"&lt;&gt;")&lt;7,"",INDEX(할일표[업무],SMALL(IF((할일표[날짜]=B$37)*(할일표[업무]&lt;&gt;""),ROW(할일표[날짜])-피벗!$T$11),7))),"")</f>
        <v/>
      </c>
      <c r="E44" s="76" t="str">
        <f t="array" ref="E44">IFERROR(IF(COUNTIFS(할일표[날짜],B$37,할일표[업무],"&lt;&gt;")&lt;7,"",INDEX(할일표[진행률],SMALL(IF((할일표[날짜]=B$37)*(할일표[업무]&lt;&gt;""),ROW(할일표[날짜])-피벗!$T$11),7))),"")</f>
        <v/>
      </c>
      <c r="F44" s="74" t="str">
        <f t="array" ref="F44">IFERROR(IF(COUNTIFS(할일표[날짜],F$37,할일표[업무],"&lt;&gt;")&lt;7,"",INDEX(구분표[아이콘],MATCH(INDEX(할일표[구분],SMALL(IF((할일표[날짜]=F$37)*(할일표[업무]&lt;&gt;""),ROW(할일표[구분])-ROW(INDEX(할일표[구분],1))+1),7)),구분표[구분],0))),"")</f>
        <v/>
      </c>
      <c r="G44" s="75" t="str">
        <f t="array" ref="G44">IFERROR(IF(COUNTIFS(할일표[날짜],F$37,할일표[업무],"&lt;&gt;")&lt;7,"",INDEX(할일표[표시],SMALL(IF((할일표[날짜]=F$37)*(할일표[업무]&lt;&gt;""),ROW(할일표[표시])-ROW(INDEX(할일표[표시],1))+1),7))),"")</f>
        <v/>
      </c>
      <c r="H44" s="80" t="str">
        <f t="array" ref="H44">IFERROR(IF(COUNTIFS(할일표[날짜],F$37,할일표[업무],"&lt;&gt;")&lt;7,"",INDEX(할일표[업무],SMALL(IF((할일표[날짜]=F$37)*(할일표[업무]&lt;&gt;""),ROW(할일표[날짜])-피벗!$T$11),7))),"")</f>
        <v/>
      </c>
      <c r="I44" s="76" t="str">
        <f t="array" ref="I44">IFERROR(IF(COUNTIFS(할일표[날짜],F$37,할일표[업무],"&lt;&gt;")&lt;7,"",INDEX(할일표[진행률],SMALL(IF((할일표[날짜]=F$37)*(할일표[업무]&lt;&gt;""),ROW(할일표[날짜])-피벗!$T$11),7))),"")</f>
        <v/>
      </c>
      <c r="J44" s="74" t="str">
        <f t="array" ref="J44">IFERROR(IF(COUNTIFS(할일표[날짜],J$37,할일표[업무],"&lt;&gt;")&lt;7,"",INDEX(구분표[아이콘],MATCH(INDEX(할일표[구분],SMALL(IF((할일표[날짜]=J$37)*(할일표[업무]&lt;&gt;""),ROW(할일표[구분])-ROW(INDEX(할일표[구분],1))+1),7)),구분표[구분],0))),"")</f>
        <v/>
      </c>
      <c r="K44" s="75" t="str">
        <f t="array" ref="K44">IFERROR(IF(COUNTIFS(할일표[날짜],J$37,할일표[업무],"&lt;&gt;")&lt;7,"",INDEX(할일표[표시],SMALL(IF((할일표[날짜]=J$37)*(할일표[업무]&lt;&gt;""),ROW(할일표[표시])-ROW(INDEX(할일표[표시],1))+1),7))),"")</f>
        <v/>
      </c>
      <c r="L44" s="80" t="str">
        <f t="array" ref="L44">IFERROR(IF(COUNTIFS(할일표[날짜],J$37,할일표[업무],"&lt;&gt;")&lt;7,"",INDEX(할일표[업무],SMALL(IF((할일표[날짜]=J$37)*(할일표[업무]&lt;&gt;""),ROW(할일표[날짜])-피벗!$T$11),7))),"")</f>
        <v/>
      </c>
      <c r="M44" s="76" t="str">
        <f t="array" ref="M44">IFERROR(IF(COUNTIFS(할일표[날짜],J$37,할일표[업무],"&lt;&gt;")&lt;7,"",INDEX(할일표[진행률],SMALL(IF((할일표[날짜]=J$37)*(할일표[업무]&lt;&gt;""),ROW(할일표[날짜])-피벗!$T$11),7))),"")</f>
        <v/>
      </c>
      <c r="N44" s="74" t="str">
        <f t="array" ref="N44">IFERROR(IF(COUNTIFS(할일표[날짜],N$37,할일표[업무],"&lt;&gt;")&lt;7,"",INDEX(구분표[아이콘],MATCH(INDEX(할일표[구분],SMALL(IF((할일표[날짜]=N$37)*(할일표[업무]&lt;&gt;""),ROW(할일표[구분])-ROW(INDEX(할일표[구분],1))+1),7)),구분표[구분],0))),"")</f>
        <v/>
      </c>
      <c r="O44" s="75" t="str">
        <f t="array" ref="O44">IFERROR(IF(COUNTIFS(할일표[날짜],N$37,할일표[업무],"&lt;&gt;")&lt;7,"",INDEX(할일표[표시],SMALL(IF((할일표[날짜]=N$37)*(할일표[업무]&lt;&gt;""),ROW(할일표[표시])-ROW(INDEX(할일표[표시],1))+1),7))),"")</f>
        <v/>
      </c>
      <c r="P44" s="80" t="str">
        <f t="array" ref="P44">IFERROR(IF(COUNTIFS(할일표[날짜],N$37,할일표[업무],"&lt;&gt;")&lt;7,"",INDEX(할일표[업무],SMALL(IF((할일표[날짜]=N$37)*(할일표[업무]&lt;&gt;""),ROW(할일표[날짜])-피벗!$T$11),7))),"")</f>
        <v/>
      </c>
      <c r="Q44" s="76" t="str">
        <f t="array" ref="Q44">IFERROR(IF(COUNTIFS(할일표[날짜],N$37,할일표[업무],"&lt;&gt;")&lt;7,"",INDEX(할일표[진행률],SMALL(IF((할일표[날짜]=N$37)*(할일표[업무]&lt;&gt;""),ROW(할일표[날짜])-피벗!$T$11),7))),"")</f>
        <v/>
      </c>
      <c r="R44" s="74" t="str">
        <f t="array" ref="R44">IFERROR(IF(COUNTIFS(할일표[날짜],R$37,할일표[업무],"&lt;&gt;")&lt;7,"",INDEX(구분표[아이콘],MATCH(INDEX(할일표[구분],SMALL(IF((할일표[날짜]=R$37)*(할일표[업무]&lt;&gt;""),ROW(할일표[구분])-ROW(INDEX(할일표[구분],1))+1),7)),구분표[구분],0))),"")</f>
        <v/>
      </c>
      <c r="S44" s="75" t="str">
        <f t="array" ref="S44">IFERROR(IF(COUNTIFS(할일표[날짜],R$37,할일표[업무],"&lt;&gt;")&lt;7,"",INDEX(할일표[표시],SMALL(IF((할일표[날짜]=R$37)*(할일표[업무]&lt;&gt;""),ROW(할일표[표시])-ROW(INDEX(할일표[표시],1))+1),7))),"")</f>
        <v/>
      </c>
      <c r="T44" s="80" t="str">
        <f t="array" ref="T44">IFERROR(IF(COUNTIFS(할일표[날짜],R$37,할일표[업무],"&lt;&gt;")&lt;7,"",INDEX(할일표[업무],SMALL(IF((할일표[날짜]=R$37)*(할일표[업무]&lt;&gt;""),ROW(할일표[날짜])-피벗!$T$11),7))),"")</f>
        <v/>
      </c>
      <c r="U44" s="76" t="str">
        <f t="array" ref="U44">IFERROR(IF(COUNTIFS(할일표[날짜],R$37,할일표[업무],"&lt;&gt;")&lt;7,"",INDEX(할일표[진행률],SMALL(IF((할일표[날짜]=R$37)*(할일표[업무]&lt;&gt;""),ROW(할일표[날짜])-피벗!$T$11),7))),"")</f>
        <v/>
      </c>
      <c r="V44" s="74" t="str">
        <f t="array" ref="V44">IFERROR(IF(COUNTIFS(할일표[날짜],V$37,할일표[업무],"&lt;&gt;")&lt;7,"",INDEX(구분표[아이콘],MATCH(INDEX(할일표[구분],SMALL(IF((할일표[날짜]=V$37)*(할일표[업무]&lt;&gt;""),ROW(할일표[구분])-ROW(INDEX(할일표[구분],1))+1),7)),구분표[구분],0))),"")</f>
        <v/>
      </c>
      <c r="W44" s="75" t="str">
        <f t="array" ref="W44">IFERROR(IF(COUNTIFS(할일표[날짜],V$37,할일표[업무],"&lt;&gt;")&lt;7,"",INDEX(할일표[표시],SMALL(IF((할일표[날짜]=V$37)*(할일표[업무]&lt;&gt;""),ROW(할일표[표시])-ROW(INDEX(할일표[표시],1))+1),7))),"")</f>
        <v/>
      </c>
      <c r="X44" s="80" t="str">
        <f t="array" ref="X44">IFERROR(IF(COUNTIFS(할일표[날짜],V$37,할일표[업무],"&lt;&gt;")&lt;7,"",INDEX(할일표[업무],SMALL(IF((할일표[날짜]=V$37)*(할일표[업무]&lt;&gt;""),ROW(할일표[날짜])-피벗!$T$11),7))),"")</f>
        <v/>
      </c>
      <c r="Y44" s="76" t="str">
        <f t="array" ref="Y44">IFERROR(IF(COUNTIFS(할일표[날짜],V$37,할일표[업무],"&lt;&gt;")&lt;7,"",INDEX(할일표[진행률],SMALL(IF((할일표[날짜]=V$37)*(할일표[업무]&lt;&gt;""),ROW(할일표[날짜])-피벗!$T$11),7))),"")</f>
        <v/>
      </c>
      <c r="Z44" s="74" t="str">
        <f t="array" ref="Z44">IFERROR(IF(COUNTIFS(할일표[날짜],Z$37,할일표[업무],"&lt;&gt;")&lt;7,"",INDEX(구분표[아이콘],MATCH(INDEX(할일표[구분],SMALL(IF((할일표[날짜]=Z$37)*(할일표[업무]&lt;&gt;""),ROW(할일표[구분])-ROW(INDEX(할일표[구분],1))+1),7)),구분표[구분],0))),"")</f>
        <v/>
      </c>
      <c r="AA44" s="75" t="str">
        <f t="array" ref="AA44">IFERROR(IF(COUNTIFS(할일표[날짜],Z$37,할일표[업무],"&lt;&gt;")&lt;7,"",INDEX(할일표[표시],SMALL(IF((할일표[날짜]=Z$37)*(할일표[업무]&lt;&gt;""),ROW(할일표[표시])-ROW(INDEX(할일표[표시],1))+1),7))),"")</f>
        <v/>
      </c>
      <c r="AB44" s="80" t="str">
        <f t="array" ref="AB44">IFERROR(IF(COUNTIFS(할일표[날짜],Z$37,할일표[업무],"&lt;&gt;")&lt;7,"",INDEX(할일표[업무],SMALL(IF((할일표[날짜]=Z$37)*(할일표[업무]&lt;&gt;""),ROW(할일표[날짜])-피벗!$T$11),7))),"")</f>
        <v/>
      </c>
      <c r="AC44" s="76" t="str">
        <f t="array" ref="AC44">IFERROR(IF(COUNTIFS(할일표[날짜],Z$37,할일표[업무],"&lt;&gt;")&lt;7,"",INDEX(할일표[진행률],SMALL(IF((할일표[날짜]=Z$37)*(할일표[업무]&lt;&gt;""),ROW(할일표[날짜])-피벗!$T$11),7))),"")</f>
        <v/>
      </c>
    </row>
    <row r="45" spans="2:43" s="48" customFormat="1" ht="21" customHeight="1" x14ac:dyDescent="0.45">
      <c r="B45" s="74" t="str">
        <f t="array" ref="B45">IFERROR(IF(COUNTIFS(할일표[날짜],B$37,할일표[업무],"&lt;&gt;")&lt;8,"",INDEX(구분표[아이콘],MATCH(INDEX(할일표[구분],SMALL(IF((할일표[날짜]=B$37)*(할일표[업무]&lt;&gt;""),ROW(할일표[구분])-ROW(INDEX(할일표[구분],1))+1),8)),구분표[구분],0))),"")</f>
        <v/>
      </c>
      <c r="C45" s="75" t="str">
        <f t="array" ref="C45">IFERROR(IF(COUNTIFS(할일표[날짜],B$37,할일표[업무],"&lt;&gt;")&lt;8,"",INDEX(할일표[표시],SMALL(IF((할일표[날짜]=B$37)*(할일표[업무]&lt;&gt;""),ROW(할일표[표시])-ROW(INDEX(할일표[표시],1))+1),8))),"")</f>
        <v/>
      </c>
      <c r="D45" s="80" t="str">
        <f t="array" ref="D45">IFERROR(IF(COUNTIFS(할일표[날짜],B$37,할일표[업무],"&lt;&gt;")&lt;8,"",INDEX(할일표[업무],SMALL(IF((할일표[날짜]=B$37)*(할일표[업무]&lt;&gt;""),ROW(할일표[날짜])-피벗!$T$11),8))),"")</f>
        <v/>
      </c>
      <c r="E45" s="76" t="str">
        <f t="array" ref="E45">IFERROR(IF(COUNTIFS(할일표[날짜],B$37,할일표[업무],"&lt;&gt;")&lt;8,"",INDEX(할일표[진행률],SMALL(IF((할일표[날짜]=B$37)*(할일표[업무]&lt;&gt;""),ROW(할일표[날짜])-피벗!$T$11),8))),"")</f>
        <v/>
      </c>
      <c r="F45" s="74" t="str">
        <f t="array" ref="F45">IFERROR(IF(COUNTIFS(할일표[날짜],F$37,할일표[업무],"&lt;&gt;")&lt;8,"",INDEX(구분표[아이콘],MATCH(INDEX(할일표[구분],SMALL(IF((할일표[날짜]=F$37)*(할일표[업무]&lt;&gt;""),ROW(할일표[구분])-ROW(INDEX(할일표[구분],1))+1),8)),구분표[구분],0))),"")</f>
        <v/>
      </c>
      <c r="G45" s="75" t="str">
        <f t="array" ref="G45">IFERROR(IF(COUNTIFS(할일표[날짜],F$37,할일표[업무],"&lt;&gt;")&lt;8,"",INDEX(할일표[표시],SMALL(IF((할일표[날짜]=F$37)*(할일표[업무]&lt;&gt;""),ROW(할일표[표시])-ROW(INDEX(할일표[표시],1))+1),8))),"")</f>
        <v/>
      </c>
      <c r="H45" s="80" t="str">
        <f t="array" ref="H45">IFERROR(IF(COUNTIFS(할일표[날짜],F$37,할일표[업무],"&lt;&gt;")&lt;8,"",INDEX(할일표[업무],SMALL(IF((할일표[날짜]=F$37)*(할일표[업무]&lt;&gt;""),ROW(할일표[날짜])-피벗!$T$11),8))),"")</f>
        <v/>
      </c>
      <c r="I45" s="76" t="str">
        <f t="array" ref="I45">IFERROR(IF(COUNTIFS(할일표[날짜],F$37,할일표[업무],"&lt;&gt;")&lt;8,"",INDEX(할일표[진행률],SMALL(IF((할일표[날짜]=F$37)*(할일표[업무]&lt;&gt;""),ROW(할일표[날짜])-피벗!$T$11),8))),"")</f>
        <v/>
      </c>
      <c r="J45" s="74" t="str">
        <f t="array" ref="J45">IFERROR(IF(COUNTIFS(할일표[날짜],J$37,할일표[업무],"&lt;&gt;")&lt;8,"",INDEX(구분표[아이콘],MATCH(INDEX(할일표[구분],SMALL(IF((할일표[날짜]=J$37)*(할일표[업무]&lt;&gt;""),ROW(할일표[구분])-ROW(INDEX(할일표[구분],1))+1),8)),구분표[구분],0))),"")</f>
        <v/>
      </c>
      <c r="K45" s="75" t="str">
        <f t="array" ref="K45">IFERROR(IF(COUNTIFS(할일표[날짜],J$37,할일표[업무],"&lt;&gt;")&lt;8,"",INDEX(할일표[표시],SMALL(IF((할일표[날짜]=J$37)*(할일표[업무]&lt;&gt;""),ROW(할일표[표시])-ROW(INDEX(할일표[표시],1))+1),8))),"")</f>
        <v/>
      </c>
      <c r="L45" s="80" t="str">
        <f t="array" ref="L45">IFERROR(IF(COUNTIFS(할일표[날짜],J$37,할일표[업무],"&lt;&gt;")&lt;8,"",INDEX(할일표[업무],SMALL(IF((할일표[날짜]=J$37)*(할일표[업무]&lt;&gt;""),ROW(할일표[날짜])-피벗!$T$11),8))),"")</f>
        <v/>
      </c>
      <c r="M45" s="76" t="str">
        <f t="array" ref="M45">IFERROR(IF(COUNTIFS(할일표[날짜],J$37,할일표[업무],"&lt;&gt;")&lt;8,"",INDEX(할일표[진행률],SMALL(IF((할일표[날짜]=J$37)*(할일표[업무]&lt;&gt;""),ROW(할일표[날짜])-피벗!$T$11),8))),"")</f>
        <v/>
      </c>
      <c r="N45" s="74" t="str">
        <f t="array" ref="N45">IFERROR(IF(COUNTIFS(할일표[날짜],N$37,할일표[업무],"&lt;&gt;")&lt;8,"",INDEX(구분표[아이콘],MATCH(INDEX(할일표[구분],SMALL(IF((할일표[날짜]=N$37)*(할일표[업무]&lt;&gt;""),ROW(할일표[구분])-ROW(INDEX(할일표[구분],1))+1),8)),구분표[구분],0))),"")</f>
        <v/>
      </c>
      <c r="O45" s="75" t="str">
        <f t="array" ref="O45">IFERROR(IF(COUNTIFS(할일표[날짜],N$37,할일표[업무],"&lt;&gt;")&lt;8,"",INDEX(할일표[표시],SMALL(IF((할일표[날짜]=N$37)*(할일표[업무]&lt;&gt;""),ROW(할일표[표시])-ROW(INDEX(할일표[표시],1))+1),8))),"")</f>
        <v/>
      </c>
      <c r="P45" s="80" t="str">
        <f t="array" ref="P45">IFERROR(IF(COUNTIFS(할일표[날짜],N$37,할일표[업무],"&lt;&gt;")&lt;8,"",INDEX(할일표[업무],SMALL(IF((할일표[날짜]=N$37)*(할일표[업무]&lt;&gt;""),ROW(할일표[날짜])-피벗!$T$11),8))),"")</f>
        <v/>
      </c>
      <c r="Q45" s="76" t="str">
        <f t="array" ref="Q45">IFERROR(IF(COUNTIFS(할일표[날짜],N$37,할일표[업무],"&lt;&gt;")&lt;8,"",INDEX(할일표[진행률],SMALL(IF((할일표[날짜]=N$37)*(할일표[업무]&lt;&gt;""),ROW(할일표[날짜])-피벗!$T$11),8))),"")</f>
        <v/>
      </c>
      <c r="R45" s="74" t="str">
        <f t="array" ref="R45">IFERROR(IF(COUNTIFS(할일표[날짜],R$37,할일표[업무],"&lt;&gt;")&lt;8,"",INDEX(구분표[아이콘],MATCH(INDEX(할일표[구분],SMALL(IF((할일표[날짜]=R$37)*(할일표[업무]&lt;&gt;""),ROW(할일표[구분])-ROW(INDEX(할일표[구분],1))+1),8)),구분표[구분],0))),"")</f>
        <v/>
      </c>
      <c r="S45" s="75" t="str">
        <f t="array" ref="S45">IFERROR(IF(COUNTIFS(할일표[날짜],R$37,할일표[업무],"&lt;&gt;")&lt;8,"",INDEX(할일표[표시],SMALL(IF((할일표[날짜]=R$37)*(할일표[업무]&lt;&gt;""),ROW(할일표[표시])-ROW(INDEX(할일표[표시],1))+1),8))),"")</f>
        <v/>
      </c>
      <c r="T45" s="80" t="str">
        <f t="array" ref="T45">IFERROR(IF(COUNTIFS(할일표[날짜],R$37,할일표[업무],"&lt;&gt;")&lt;8,"",INDEX(할일표[업무],SMALL(IF((할일표[날짜]=R$37)*(할일표[업무]&lt;&gt;""),ROW(할일표[날짜])-피벗!$T$11),8))),"")</f>
        <v/>
      </c>
      <c r="U45" s="76" t="str">
        <f t="array" ref="U45">IFERROR(IF(COUNTIFS(할일표[날짜],R$37,할일표[업무],"&lt;&gt;")&lt;8,"",INDEX(할일표[진행률],SMALL(IF((할일표[날짜]=R$37)*(할일표[업무]&lt;&gt;""),ROW(할일표[날짜])-피벗!$T$11),8))),"")</f>
        <v/>
      </c>
      <c r="V45" s="74" t="str">
        <f t="array" ref="V45">IFERROR(IF(COUNTIFS(할일표[날짜],V$37,할일표[업무],"&lt;&gt;")&lt;8,"",INDEX(구분표[아이콘],MATCH(INDEX(할일표[구분],SMALL(IF((할일표[날짜]=V$37)*(할일표[업무]&lt;&gt;""),ROW(할일표[구분])-ROW(INDEX(할일표[구분],1))+1),8)),구분표[구분],0))),"")</f>
        <v/>
      </c>
      <c r="W45" s="75" t="str">
        <f t="array" ref="W45">IFERROR(IF(COUNTIFS(할일표[날짜],V$37,할일표[업무],"&lt;&gt;")&lt;8,"",INDEX(할일표[표시],SMALL(IF((할일표[날짜]=V$37)*(할일표[업무]&lt;&gt;""),ROW(할일표[표시])-ROW(INDEX(할일표[표시],1))+1),8))),"")</f>
        <v/>
      </c>
      <c r="X45" s="80" t="str">
        <f t="array" ref="X45">IFERROR(IF(COUNTIFS(할일표[날짜],V$37,할일표[업무],"&lt;&gt;")&lt;8,"",INDEX(할일표[업무],SMALL(IF((할일표[날짜]=V$37)*(할일표[업무]&lt;&gt;""),ROW(할일표[날짜])-피벗!$T$11),8))),"")</f>
        <v/>
      </c>
      <c r="Y45" s="76" t="str">
        <f t="array" ref="Y45">IFERROR(IF(COUNTIFS(할일표[날짜],V$37,할일표[업무],"&lt;&gt;")&lt;8,"",INDEX(할일표[진행률],SMALL(IF((할일표[날짜]=V$37)*(할일표[업무]&lt;&gt;""),ROW(할일표[날짜])-피벗!$T$11),8))),"")</f>
        <v/>
      </c>
      <c r="Z45" s="74" t="str">
        <f t="array" ref="Z45">IFERROR(IF(COUNTIFS(할일표[날짜],Z$37,할일표[업무],"&lt;&gt;")&lt;8,"",INDEX(구분표[아이콘],MATCH(INDEX(할일표[구분],SMALL(IF((할일표[날짜]=Z$37)*(할일표[업무]&lt;&gt;""),ROW(할일표[구분])-ROW(INDEX(할일표[구분],1))+1),8)),구분표[구분],0))),"")</f>
        <v/>
      </c>
      <c r="AA45" s="75" t="str">
        <f t="array" ref="AA45">IFERROR(IF(COUNTIFS(할일표[날짜],Z$37,할일표[업무],"&lt;&gt;")&lt;8,"",INDEX(할일표[표시],SMALL(IF((할일표[날짜]=Z$37)*(할일표[업무]&lt;&gt;""),ROW(할일표[표시])-ROW(INDEX(할일표[표시],1))+1),8))),"")</f>
        <v/>
      </c>
      <c r="AB45" s="80" t="str">
        <f t="array" ref="AB45">IFERROR(IF(COUNTIFS(할일표[날짜],Z$37,할일표[업무],"&lt;&gt;")&lt;8,"",INDEX(할일표[업무],SMALL(IF((할일표[날짜]=Z$37)*(할일표[업무]&lt;&gt;""),ROW(할일표[날짜])-피벗!$T$11),8))),"")</f>
        <v/>
      </c>
      <c r="AC45" s="76" t="str">
        <f t="array" ref="AC45">IFERROR(IF(COUNTIFS(할일표[날짜],Z$37,할일표[업무],"&lt;&gt;")&lt;8,"",INDEX(할일표[진행률],SMALL(IF((할일표[날짜]=Z$37)*(할일표[업무]&lt;&gt;""),ROW(할일표[날짜])-피벗!$T$11),8))),"")</f>
        <v/>
      </c>
      <c r="AI45" s="45"/>
      <c r="AJ45" s="45"/>
      <c r="AK45" s="45"/>
      <c r="AL45" s="45"/>
      <c r="AM45" s="45"/>
      <c r="AN45" s="45"/>
      <c r="AO45" s="45"/>
      <c r="AP45" s="45"/>
      <c r="AQ45" s="45"/>
    </row>
    <row r="46" spans="2:43" ht="7.5" customHeight="1" x14ac:dyDescent="0.45">
      <c r="B46" s="87"/>
      <c r="C46" s="88"/>
      <c r="D46" s="88"/>
      <c r="E46" s="89"/>
      <c r="F46" s="87"/>
      <c r="G46" s="88"/>
      <c r="H46" s="88"/>
      <c r="I46" s="89"/>
      <c r="J46" s="87"/>
      <c r="K46" s="88"/>
      <c r="L46" s="88"/>
      <c r="M46" s="89"/>
      <c r="N46" s="87"/>
      <c r="O46" s="88"/>
      <c r="P46" s="88"/>
      <c r="Q46" s="89"/>
      <c r="R46" s="87"/>
      <c r="S46" s="88"/>
      <c r="T46" s="88"/>
      <c r="U46" s="89"/>
      <c r="V46" s="87"/>
      <c r="W46" s="88"/>
      <c r="X46" s="88"/>
      <c r="Y46" s="89"/>
      <c r="Z46" s="87"/>
      <c r="AA46" s="88"/>
      <c r="AB46" s="88"/>
      <c r="AC46" s="89"/>
      <c r="AI46" s="44"/>
      <c r="AJ46" s="44"/>
      <c r="AK46" s="44"/>
      <c r="AL46" s="44"/>
      <c r="AM46" s="44"/>
      <c r="AN46" s="44"/>
      <c r="AO46" s="44"/>
      <c r="AP46" s="44"/>
      <c r="AQ46" s="44"/>
    </row>
    <row r="47" spans="2:43" s="44" customFormat="1" ht="23.5" customHeight="1" x14ac:dyDescent="0.45">
      <c r="B47" s="71">
        <f>Z37+1</f>
        <v>46292</v>
      </c>
      <c r="C47" s="72"/>
      <c r="D47" s="72"/>
      <c r="E47" s="73"/>
      <c r="F47" s="71">
        <f>B47+1</f>
        <v>46293</v>
      </c>
      <c r="G47" s="72"/>
      <c r="H47" s="72"/>
      <c r="I47" s="73"/>
      <c r="J47" s="71">
        <f>F47+1</f>
        <v>46294</v>
      </c>
      <c r="K47" s="72"/>
      <c r="L47" s="72"/>
      <c r="M47" s="73"/>
      <c r="N47" s="71">
        <f>J47+1</f>
        <v>46295</v>
      </c>
      <c r="O47" s="72"/>
      <c r="P47" s="72"/>
      <c r="Q47" s="73"/>
      <c r="R47" s="71">
        <f>N47+1</f>
        <v>46296</v>
      </c>
      <c r="S47" s="72"/>
      <c r="T47" s="72"/>
      <c r="U47" s="73"/>
      <c r="V47" s="71">
        <f>R47+1</f>
        <v>46297</v>
      </c>
      <c r="W47" s="72"/>
      <c r="X47" s="72"/>
      <c r="Y47" s="73"/>
      <c r="Z47" s="71">
        <f>V47+1</f>
        <v>46298</v>
      </c>
      <c r="AA47" s="72"/>
      <c r="AB47" s="72"/>
      <c r="AC47" s="73"/>
      <c r="AI47" s="48"/>
      <c r="AJ47" s="48"/>
      <c r="AK47" s="48"/>
      <c r="AL47" s="48"/>
      <c r="AM47" s="48"/>
      <c r="AN47" s="48"/>
      <c r="AO47" s="48"/>
      <c r="AP47" s="48"/>
      <c r="AQ47" s="48"/>
    </row>
    <row r="48" spans="2:43" s="48" customFormat="1" ht="21" customHeight="1" x14ac:dyDescent="0.45">
      <c r="B48" s="74" t="str">
        <f t="array" ref="B48">IFERROR(IF(COUNTIFS(할일표[날짜],B$47,할일표[업무],"&lt;&gt;")&lt;1,"",INDEX(구분표[아이콘],MATCH(INDEX(할일표[구분],SMALL(IF((할일표[날짜]=B$47)*(할일표[업무]&lt;&gt;""),ROW(할일표[구분])-ROW(INDEX(할일표[구분],1))+1),1)),구분표[구분],0))),"")</f>
        <v/>
      </c>
      <c r="C48" s="75" t="str">
        <f t="array" ref="C48">IFERROR(IF(COUNTIFS(할일표[날짜],B$47,할일표[업무],"&lt;&gt;")&lt;1,"",INDEX(할일표[표시],SMALL(IF((할일표[날짜]=B$47)*(할일표[업무]&lt;&gt;""),ROW(할일표[표시])-ROW(INDEX(할일표[표시],1))+1),1))),"")</f>
        <v/>
      </c>
      <c r="D48" s="80" t="str">
        <f t="array" ref="D48">IFERROR(IF(COUNTIFS(할일표[날짜],B$47,할일표[업무],"&lt;&gt;")&lt;1,"",INDEX(할일표[업무],SMALL(IF((할일표[날짜]=B$47)*(할일표[업무]&lt;&gt;""),ROW(할일표[날짜])-피벗!$T$11),1))),"")</f>
        <v/>
      </c>
      <c r="E48" s="76" t="str">
        <f t="array" ref="E48">IFERROR(IF(COUNTIFS(할일표[날짜],B$47,할일표[업무],"&lt;&gt;")&lt;1,"",INDEX(할일표[진행률],SMALL(IF((할일표[날짜]=B$47)*(할일표[업무]&lt;&gt;""),ROW(할일표[날짜])-피벗!$T$11),1))),"")</f>
        <v/>
      </c>
      <c r="F48" s="74" t="str">
        <f t="array" ref="F48">IFERROR(IF(COUNTIFS(할일표[날짜],F$47,할일표[업무],"&lt;&gt;")&lt;1,"",INDEX(구분표[아이콘],MATCH(INDEX(할일표[구분],SMALL(IF((할일표[날짜]=F$47)*(할일표[업무]&lt;&gt;""),ROW(할일표[구분])-ROW(INDEX(할일표[구분],1))+1),1)),구분표[구분],0))),"")</f>
        <v/>
      </c>
      <c r="G48" s="75" t="str">
        <f t="array" ref="G48">IFERROR(IF(COUNTIFS(할일표[날짜],F$47,할일표[업무],"&lt;&gt;")&lt;1,"",INDEX(할일표[표시],SMALL(IF((할일표[날짜]=F$47)*(할일표[업무]&lt;&gt;""),ROW(할일표[표시])-ROW(INDEX(할일표[표시],1))+1),1))),"")</f>
        <v/>
      </c>
      <c r="H48" s="80" t="str">
        <f t="array" ref="H48">IFERROR(IF(COUNTIFS(할일표[날짜],F$47,할일표[업무],"&lt;&gt;")&lt;1,"",INDEX(할일표[업무],SMALL(IF((할일표[날짜]=F$47)*(할일표[업무]&lt;&gt;""),ROW(할일표[날짜])-피벗!$T$11),1))),"")</f>
        <v/>
      </c>
      <c r="I48" s="76" t="str">
        <f t="array" ref="I48">IFERROR(IF(COUNTIFS(할일표[날짜],F$47,할일표[업무],"&lt;&gt;")&lt;1,"",INDEX(할일표[진행률],SMALL(IF((할일표[날짜]=F$47)*(할일표[업무]&lt;&gt;""),ROW(할일표[날짜])-피벗!$T$11),1))),"")</f>
        <v/>
      </c>
      <c r="J48" s="74" t="str">
        <f t="array" ref="J48">IFERROR(IF(COUNTIFS(할일표[날짜],J$47,할일표[업무],"&lt;&gt;")&lt;1,"",INDEX(구분표[아이콘],MATCH(INDEX(할일표[구분],SMALL(IF((할일표[날짜]=J$47)*(할일표[업무]&lt;&gt;""),ROW(할일표[구분])-ROW(INDEX(할일표[구분],1))+1),1)),구분표[구분],0))),"")</f>
        <v/>
      </c>
      <c r="K48" s="75" t="str">
        <f t="array" ref="K48">IFERROR(IF(COUNTIFS(할일표[날짜],J$47,할일표[업무],"&lt;&gt;")&lt;1,"",INDEX(할일표[표시],SMALL(IF((할일표[날짜]=J$47)*(할일표[업무]&lt;&gt;""),ROW(할일표[표시])-ROW(INDEX(할일표[표시],1))+1),1))),"")</f>
        <v/>
      </c>
      <c r="L48" s="80" t="str">
        <f t="array" ref="L48">IFERROR(IF(COUNTIFS(할일표[날짜],J$47,할일표[업무],"&lt;&gt;")&lt;1,"",INDEX(할일표[업무],SMALL(IF((할일표[날짜]=J$47)*(할일표[업무]&lt;&gt;""),ROW(할일표[날짜])-피벗!$T$11),1))),"")</f>
        <v/>
      </c>
      <c r="M48" s="76" t="str">
        <f t="array" ref="M48">IFERROR(IF(COUNTIFS(할일표[날짜],J$47,할일표[업무],"&lt;&gt;")&lt;1,"",INDEX(할일표[진행률],SMALL(IF((할일표[날짜]=J$47)*(할일표[업무]&lt;&gt;""),ROW(할일표[날짜])-피벗!$T$11),1))),"")</f>
        <v/>
      </c>
      <c r="N48" s="74" t="str">
        <f t="array" ref="N48">IFERROR(IF(COUNTIFS(할일표[날짜],N$47,할일표[업무],"&lt;&gt;")&lt;1,"",INDEX(구분표[아이콘],MATCH(INDEX(할일표[구분],SMALL(IF((할일표[날짜]=N$47)*(할일표[업무]&lt;&gt;""),ROW(할일표[구분])-ROW(INDEX(할일표[구분],1))+1),1)),구분표[구분],0))),"")</f>
        <v/>
      </c>
      <c r="O48" s="75" t="str">
        <f t="array" ref="O48">IFERROR(IF(COUNTIFS(할일표[날짜],N$47,할일표[업무],"&lt;&gt;")&lt;1,"",INDEX(할일표[표시],SMALL(IF((할일표[날짜]=N$47)*(할일표[업무]&lt;&gt;""),ROW(할일표[표시])-ROW(INDEX(할일표[표시],1))+1),1))),"")</f>
        <v/>
      </c>
      <c r="P48" s="80" t="str">
        <f t="array" ref="P48">IFERROR(IF(COUNTIFS(할일표[날짜],N$47,할일표[업무],"&lt;&gt;")&lt;1,"",INDEX(할일표[업무],SMALL(IF((할일표[날짜]=N$47)*(할일표[업무]&lt;&gt;""),ROW(할일표[날짜])-피벗!$T$11),1))),"")</f>
        <v/>
      </c>
      <c r="Q48" s="76" t="str">
        <f t="array" ref="Q48">IFERROR(IF(COUNTIFS(할일표[날짜],N$47,할일표[업무],"&lt;&gt;")&lt;1,"",INDEX(할일표[진행률],SMALL(IF((할일표[날짜]=N$47)*(할일표[업무]&lt;&gt;""),ROW(할일표[날짜])-피벗!$T$11),1))),"")</f>
        <v/>
      </c>
      <c r="R48" s="74" t="str">
        <f t="array" ref="R48">IFERROR(IF(COUNTIFS(할일표[날짜],R$47,할일표[업무],"&lt;&gt;")&lt;1,"",INDEX(구분표[아이콘],MATCH(INDEX(할일표[구분],SMALL(IF((할일표[날짜]=R$47)*(할일표[업무]&lt;&gt;""),ROW(할일표[구분])-ROW(INDEX(할일표[구분],1))+1),1)),구분표[구분],0))),"")</f>
        <v/>
      </c>
      <c r="S48" s="75" t="str">
        <f t="array" ref="S48">IFERROR(IF(COUNTIFS(할일표[날짜],R$47,할일표[업무],"&lt;&gt;")&lt;1,"",INDEX(할일표[표시],SMALL(IF((할일표[날짜]=R$47)*(할일표[업무]&lt;&gt;""),ROW(할일표[표시])-ROW(INDEX(할일표[표시],1))+1),1))),"")</f>
        <v/>
      </c>
      <c r="T48" s="80" t="str">
        <f t="array" ref="T48">IFERROR(IF(COUNTIFS(할일표[날짜],R$47,할일표[업무],"&lt;&gt;")&lt;1,"",INDEX(할일표[업무],SMALL(IF((할일표[날짜]=R$47)*(할일표[업무]&lt;&gt;""),ROW(할일표[날짜])-피벗!$T$11),1))),"")</f>
        <v/>
      </c>
      <c r="U48" s="76" t="str">
        <f t="array" ref="U48">IFERROR(IF(COUNTIFS(할일표[날짜],R$47,할일표[업무],"&lt;&gt;")&lt;1,"",INDEX(할일표[진행률],SMALL(IF((할일표[날짜]=R$47)*(할일표[업무]&lt;&gt;""),ROW(할일표[날짜])-피벗!$T$11),1))),"")</f>
        <v/>
      </c>
      <c r="V48" s="74" t="str">
        <f t="array" ref="V48">IFERROR(IF(COUNTIFS(할일표[날짜],V$47,할일표[업무],"&lt;&gt;")&lt;1,"",INDEX(구분표[아이콘],MATCH(INDEX(할일표[구분],SMALL(IF((할일표[날짜]=V$47)*(할일표[업무]&lt;&gt;""),ROW(할일표[구분])-ROW(INDEX(할일표[구분],1))+1),1)),구분표[구분],0))),"")</f>
        <v/>
      </c>
      <c r="W48" s="75" t="str">
        <f t="array" ref="W48">IFERROR(IF(COUNTIFS(할일표[날짜],V$47,할일표[업무],"&lt;&gt;")&lt;1,"",INDEX(할일표[표시],SMALL(IF((할일표[날짜]=V$47)*(할일표[업무]&lt;&gt;""),ROW(할일표[표시])-ROW(INDEX(할일표[표시],1))+1),1))),"")</f>
        <v/>
      </c>
      <c r="X48" s="80" t="str">
        <f t="array" ref="X48">IFERROR(IF(COUNTIFS(할일표[날짜],V$47,할일표[업무],"&lt;&gt;")&lt;1,"",INDEX(할일표[업무],SMALL(IF((할일표[날짜]=V$47)*(할일표[업무]&lt;&gt;""),ROW(할일표[날짜])-피벗!$T$11),1))),"")</f>
        <v/>
      </c>
      <c r="Y48" s="76" t="str">
        <f t="array" ref="Y48">IFERROR(IF(COUNTIFS(할일표[날짜],V$47,할일표[업무],"&lt;&gt;")&lt;1,"",INDEX(할일표[진행률],SMALL(IF((할일표[날짜]=V$47)*(할일표[업무]&lt;&gt;""),ROW(할일표[날짜])-피벗!$T$11),1))),"")</f>
        <v/>
      </c>
      <c r="Z48" s="74" t="str">
        <f t="array" ref="Z48">IFERROR(IF(COUNTIFS(할일표[날짜],Z$47,할일표[업무],"&lt;&gt;")&lt;1,"",INDEX(구분표[아이콘],MATCH(INDEX(할일표[구분],SMALL(IF((할일표[날짜]=Z$47)*(할일표[업무]&lt;&gt;""),ROW(할일표[구분])-ROW(INDEX(할일표[구분],1))+1),1)),구분표[구분],0))),"")</f>
        <v/>
      </c>
      <c r="AA48" s="75" t="str">
        <f t="array" ref="AA48">IFERROR(IF(COUNTIFS(할일표[날짜],Z$47,할일표[업무],"&lt;&gt;")&lt;1,"",INDEX(할일표[표시],SMALL(IF((할일표[날짜]=Z$47)*(할일표[업무]&lt;&gt;""),ROW(할일표[표시])-ROW(INDEX(할일표[표시],1))+1),1))),"")</f>
        <v/>
      </c>
      <c r="AB48" s="80" t="str">
        <f t="array" ref="AB48">IFERROR(IF(COUNTIFS(할일표[날짜],Z$47,할일표[업무],"&lt;&gt;")&lt;1,"",INDEX(할일표[업무],SMALL(IF((할일표[날짜]=Z$47)*(할일표[업무]&lt;&gt;""),ROW(할일표[날짜])-피벗!$T$11),1))),"")</f>
        <v/>
      </c>
      <c r="AC48" s="76" t="str">
        <f t="array" ref="AC48">IFERROR(IF(COUNTIFS(할일표[날짜],Z$47,할일표[업무],"&lt;&gt;")&lt;1,"",INDEX(할일표[진행률],SMALL(IF((할일표[날짜]=Z$47)*(할일표[업무]&lt;&gt;""),ROW(할일표[날짜])-피벗!$T$11),1))),"")</f>
        <v/>
      </c>
    </row>
    <row r="49" spans="2:43" s="48" customFormat="1" ht="21" customHeight="1" x14ac:dyDescent="0.45">
      <c r="B49" s="74" t="str">
        <f t="array" ref="B49">IFERROR(IF(COUNTIFS(할일표[날짜],B$47,할일표[업무],"&lt;&gt;")&lt;2,"",INDEX(구분표[아이콘],MATCH(INDEX(할일표[구분],SMALL(IF((할일표[날짜]=B$47)*(할일표[업무]&lt;&gt;""),ROW(할일표[구분])-ROW(INDEX(할일표[구분],1))+1),2)),구분표[구분],0))),"")</f>
        <v/>
      </c>
      <c r="C49" s="75" t="str">
        <f t="array" ref="C49">IFERROR(IF(COUNTIFS(할일표[날짜],B$47,할일표[업무],"&lt;&gt;")&lt;2,"",INDEX(할일표[표시],SMALL(IF((할일표[날짜]=B$47)*(할일표[업무]&lt;&gt;""),ROW(할일표[표시])-ROW(INDEX(할일표[표시],1))+1),2))),"")</f>
        <v/>
      </c>
      <c r="D49" s="80" t="str">
        <f t="array" ref="D49">IFERROR(IF(COUNTIFS(할일표[날짜],B$47,할일표[업무],"&lt;&gt;")&lt;2,"",INDEX(할일표[업무],SMALL(IF((할일표[날짜]=B$47)*(할일표[업무]&lt;&gt;""),ROW(할일표[날짜])-피벗!$T$11),2))),"")</f>
        <v/>
      </c>
      <c r="E49" s="76" t="str">
        <f t="array" ref="E49">IFERROR(IF(COUNTIFS(할일표[날짜],B$47,할일표[업무],"&lt;&gt;")&lt;2,"",INDEX(할일표[진행률],SMALL(IF((할일표[날짜]=B$47)*(할일표[업무]&lt;&gt;""),ROW(할일표[날짜])-피벗!$T$11),2))),"")</f>
        <v/>
      </c>
      <c r="F49" s="74" t="str">
        <f t="array" ref="F49">IFERROR(IF(COUNTIFS(할일표[날짜],F$47,할일표[업무],"&lt;&gt;")&lt;2,"",INDEX(구분표[아이콘],MATCH(INDEX(할일표[구분],SMALL(IF((할일표[날짜]=F$47)*(할일표[업무]&lt;&gt;""),ROW(할일표[구분])-ROW(INDEX(할일표[구분],1))+1),2)),구분표[구분],0))),"")</f>
        <v/>
      </c>
      <c r="G49" s="75" t="str">
        <f t="array" ref="G49">IFERROR(IF(COUNTIFS(할일표[날짜],F$47,할일표[업무],"&lt;&gt;")&lt;2,"",INDEX(할일표[표시],SMALL(IF((할일표[날짜]=F$47)*(할일표[업무]&lt;&gt;""),ROW(할일표[표시])-ROW(INDEX(할일표[표시],1))+1),2))),"")</f>
        <v/>
      </c>
      <c r="H49" s="80" t="str">
        <f t="array" ref="H49">IFERROR(IF(COUNTIFS(할일표[날짜],F$47,할일표[업무],"&lt;&gt;")&lt;2,"",INDEX(할일표[업무],SMALL(IF((할일표[날짜]=F$47)*(할일표[업무]&lt;&gt;""),ROW(할일표[날짜])-피벗!$T$11),2))),"")</f>
        <v/>
      </c>
      <c r="I49" s="76" t="str">
        <f t="array" ref="I49">IFERROR(IF(COUNTIFS(할일표[날짜],F$47,할일표[업무],"&lt;&gt;")&lt;2,"",INDEX(할일표[진행률],SMALL(IF((할일표[날짜]=F$47)*(할일표[업무]&lt;&gt;""),ROW(할일표[날짜])-피벗!$T$11),2))),"")</f>
        <v/>
      </c>
      <c r="J49" s="74" t="str">
        <f t="array" ref="J49">IFERROR(IF(COUNTIFS(할일표[날짜],J$47,할일표[업무],"&lt;&gt;")&lt;2,"",INDEX(구분표[아이콘],MATCH(INDEX(할일표[구분],SMALL(IF((할일표[날짜]=J$47)*(할일표[업무]&lt;&gt;""),ROW(할일표[구분])-ROW(INDEX(할일표[구분],1))+1),2)),구분표[구분],0))),"")</f>
        <v/>
      </c>
      <c r="K49" s="75" t="str">
        <f t="array" ref="K49">IFERROR(IF(COUNTIFS(할일표[날짜],J$47,할일표[업무],"&lt;&gt;")&lt;2,"",INDEX(할일표[표시],SMALL(IF((할일표[날짜]=J$47)*(할일표[업무]&lt;&gt;""),ROW(할일표[표시])-ROW(INDEX(할일표[표시],1))+1),2))),"")</f>
        <v/>
      </c>
      <c r="L49" s="80" t="str">
        <f t="array" ref="L49">IFERROR(IF(COUNTIFS(할일표[날짜],J$47,할일표[업무],"&lt;&gt;")&lt;2,"",INDEX(할일표[업무],SMALL(IF((할일표[날짜]=J$47)*(할일표[업무]&lt;&gt;""),ROW(할일표[날짜])-피벗!$T$11),2))),"")</f>
        <v/>
      </c>
      <c r="M49" s="76" t="str">
        <f t="array" ref="M49">IFERROR(IF(COUNTIFS(할일표[날짜],J$47,할일표[업무],"&lt;&gt;")&lt;2,"",INDEX(할일표[진행률],SMALL(IF((할일표[날짜]=J$47)*(할일표[업무]&lt;&gt;""),ROW(할일표[날짜])-피벗!$T$11),2))),"")</f>
        <v/>
      </c>
      <c r="N49" s="74" t="str">
        <f t="array" ref="N49">IFERROR(IF(COUNTIFS(할일표[날짜],N$47,할일표[업무],"&lt;&gt;")&lt;2,"",INDEX(구분표[아이콘],MATCH(INDEX(할일표[구분],SMALL(IF((할일표[날짜]=N$47)*(할일표[업무]&lt;&gt;""),ROW(할일표[구분])-ROW(INDEX(할일표[구분],1))+1),2)),구분표[구분],0))),"")</f>
        <v/>
      </c>
      <c r="O49" s="75" t="str">
        <f t="array" ref="O49">IFERROR(IF(COUNTIFS(할일표[날짜],N$47,할일표[업무],"&lt;&gt;")&lt;2,"",INDEX(할일표[표시],SMALL(IF((할일표[날짜]=N$47)*(할일표[업무]&lt;&gt;""),ROW(할일표[표시])-ROW(INDEX(할일표[표시],1))+1),2))),"")</f>
        <v/>
      </c>
      <c r="P49" s="80" t="str">
        <f t="array" ref="P49">IFERROR(IF(COUNTIFS(할일표[날짜],N$47,할일표[업무],"&lt;&gt;")&lt;2,"",INDEX(할일표[업무],SMALL(IF((할일표[날짜]=N$47)*(할일표[업무]&lt;&gt;""),ROW(할일표[날짜])-피벗!$T$11),2))),"")</f>
        <v/>
      </c>
      <c r="Q49" s="76" t="str">
        <f t="array" ref="Q49">IFERROR(IF(COUNTIFS(할일표[날짜],N$47,할일표[업무],"&lt;&gt;")&lt;2,"",INDEX(할일표[진행률],SMALL(IF((할일표[날짜]=N$47)*(할일표[업무]&lt;&gt;""),ROW(할일표[날짜])-피벗!$T$11),2))),"")</f>
        <v/>
      </c>
      <c r="R49" s="74" t="str">
        <f t="array" ref="R49">IFERROR(IF(COUNTIFS(할일표[날짜],R$47,할일표[업무],"&lt;&gt;")&lt;2,"",INDEX(구분표[아이콘],MATCH(INDEX(할일표[구분],SMALL(IF((할일표[날짜]=R$47)*(할일표[업무]&lt;&gt;""),ROW(할일표[구분])-ROW(INDEX(할일표[구분],1))+1),2)),구분표[구분],0))),"")</f>
        <v/>
      </c>
      <c r="S49" s="75" t="str">
        <f t="array" ref="S49">IFERROR(IF(COUNTIFS(할일표[날짜],R$47,할일표[업무],"&lt;&gt;")&lt;2,"",INDEX(할일표[표시],SMALL(IF((할일표[날짜]=R$47)*(할일표[업무]&lt;&gt;""),ROW(할일표[표시])-ROW(INDEX(할일표[표시],1))+1),2))),"")</f>
        <v/>
      </c>
      <c r="T49" s="80" t="str">
        <f t="array" ref="T49">IFERROR(IF(COUNTIFS(할일표[날짜],R$47,할일표[업무],"&lt;&gt;")&lt;2,"",INDEX(할일표[업무],SMALL(IF((할일표[날짜]=R$47)*(할일표[업무]&lt;&gt;""),ROW(할일표[날짜])-피벗!$T$11),2))),"")</f>
        <v/>
      </c>
      <c r="U49" s="76" t="str">
        <f t="array" ref="U49">IFERROR(IF(COUNTIFS(할일표[날짜],R$47,할일표[업무],"&lt;&gt;")&lt;2,"",INDEX(할일표[진행률],SMALL(IF((할일표[날짜]=R$47)*(할일표[업무]&lt;&gt;""),ROW(할일표[날짜])-피벗!$T$11),2))),"")</f>
        <v/>
      </c>
      <c r="V49" s="74" t="str">
        <f t="array" ref="V49">IFERROR(IF(COUNTIFS(할일표[날짜],V$47,할일표[업무],"&lt;&gt;")&lt;2,"",INDEX(구분표[아이콘],MATCH(INDEX(할일표[구분],SMALL(IF((할일표[날짜]=V$47)*(할일표[업무]&lt;&gt;""),ROW(할일표[구분])-ROW(INDEX(할일표[구분],1))+1),2)),구분표[구분],0))),"")</f>
        <v/>
      </c>
      <c r="W49" s="75" t="str">
        <f t="array" ref="W49">IFERROR(IF(COUNTIFS(할일표[날짜],V$47,할일표[업무],"&lt;&gt;")&lt;2,"",INDEX(할일표[표시],SMALL(IF((할일표[날짜]=V$47)*(할일표[업무]&lt;&gt;""),ROW(할일표[표시])-ROW(INDEX(할일표[표시],1))+1),2))),"")</f>
        <v/>
      </c>
      <c r="X49" s="80" t="str">
        <f t="array" ref="X49">IFERROR(IF(COUNTIFS(할일표[날짜],V$47,할일표[업무],"&lt;&gt;")&lt;2,"",INDEX(할일표[업무],SMALL(IF((할일표[날짜]=V$47)*(할일표[업무]&lt;&gt;""),ROW(할일표[날짜])-피벗!$T$11),2))),"")</f>
        <v/>
      </c>
      <c r="Y49" s="76" t="str">
        <f t="array" ref="Y49">IFERROR(IF(COUNTIFS(할일표[날짜],V$47,할일표[업무],"&lt;&gt;")&lt;2,"",INDEX(할일표[진행률],SMALL(IF((할일표[날짜]=V$47)*(할일표[업무]&lt;&gt;""),ROW(할일표[날짜])-피벗!$T$11),2))),"")</f>
        <v/>
      </c>
      <c r="Z49" s="74" t="str">
        <f t="array" ref="Z49">IFERROR(IF(COUNTIFS(할일표[날짜],Z$47,할일표[업무],"&lt;&gt;")&lt;2,"",INDEX(구분표[아이콘],MATCH(INDEX(할일표[구분],SMALL(IF((할일표[날짜]=Z$47)*(할일표[업무]&lt;&gt;""),ROW(할일표[구분])-ROW(INDEX(할일표[구분],1))+1),2)),구분표[구분],0))),"")</f>
        <v/>
      </c>
      <c r="AA49" s="75" t="str">
        <f t="array" ref="AA49">IFERROR(IF(COUNTIFS(할일표[날짜],Z$47,할일표[업무],"&lt;&gt;")&lt;2,"",INDEX(할일표[표시],SMALL(IF((할일표[날짜]=Z$47)*(할일표[업무]&lt;&gt;""),ROW(할일표[표시])-ROW(INDEX(할일표[표시],1))+1),2))),"")</f>
        <v/>
      </c>
      <c r="AB49" s="80" t="str">
        <f t="array" ref="AB49">IFERROR(IF(COUNTIFS(할일표[날짜],Z$47,할일표[업무],"&lt;&gt;")&lt;2,"",INDEX(할일표[업무],SMALL(IF((할일표[날짜]=Z$47)*(할일표[업무]&lt;&gt;""),ROW(할일표[날짜])-피벗!$T$11),2))),"")</f>
        <v/>
      </c>
      <c r="AC49" s="76" t="str">
        <f t="array" ref="AC49">IFERROR(IF(COUNTIFS(할일표[날짜],Z$47,할일표[업무],"&lt;&gt;")&lt;2,"",INDEX(할일표[진행률],SMALL(IF((할일표[날짜]=Z$47)*(할일표[업무]&lt;&gt;""),ROW(할일표[날짜])-피벗!$T$11),2))),"")</f>
        <v/>
      </c>
    </row>
    <row r="50" spans="2:43" s="48" customFormat="1" ht="21" customHeight="1" x14ac:dyDescent="0.45">
      <c r="B50" s="74" t="str">
        <f t="array" ref="B50">IFERROR(IF(COUNTIFS(할일표[날짜],B$47,할일표[업무],"&lt;&gt;")&lt;3,"",INDEX(구분표[아이콘],MATCH(INDEX(할일표[구분],SMALL(IF((할일표[날짜]=B$47)*(할일표[업무]&lt;&gt;""),ROW(할일표[구분])-ROW(INDEX(할일표[구분],1))+1),3)),구분표[구분],0))),"")</f>
        <v/>
      </c>
      <c r="C50" s="75" t="str">
        <f t="array" ref="C50">IFERROR(IF(COUNTIFS(할일표[날짜],B$47,할일표[업무],"&lt;&gt;")&lt;3,"",INDEX(할일표[표시],SMALL(IF((할일표[날짜]=B$47)*(할일표[업무]&lt;&gt;""),ROW(할일표[표시])-ROW(INDEX(할일표[표시],1))+1),3))),"")</f>
        <v/>
      </c>
      <c r="D50" s="80" t="str">
        <f t="array" ref="D50">IFERROR(IF(COUNTIFS(할일표[날짜],B$47,할일표[업무],"&lt;&gt;")&lt;3,"",INDEX(할일표[업무],SMALL(IF((할일표[날짜]=B$47)*(할일표[업무]&lt;&gt;""),ROW(할일표[날짜])-피벗!$T$11),3))),"")</f>
        <v/>
      </c>
      <c r="E50" s="76" t="str">
        <f t="array" ref="E50">IFERROR(IF(COUNTIFS(할일표[날짜],B$47,할일표[업무],"&lt;&gt;")&lt;3,"",INDEX(할일표[진행률],SMALL(IF((할일표[날짜]=B$47)*(할일표[업무]&lt;&gt;""),ROW(할일표[날짜])-피벗!$T$11),3))),"")</f>
        <v/>
      </c>
      <c r="F50" s="74" t="str">
        <f t="array" ref="F50">IFERROR(IF(COUNTIFS(할일표[날짜],F$47,할일표[업무],"&lt;&gt;")&lt;3,"",INDEX(구분표[아이콘],MATCH(INDEX(할일표[구분],SMALL(IF((할일표[날짜]=F$47)*(할일표[업무]&lt;&gt;""),ROW(할일표[구분])-ROW(INDEX(할일표[구분],1))+1),3)),구분표[구분],0))),"")</f>
        <v/>
      </c>
      <c r="G50" s="75" t="str">
        <f t="array" ref="G50">IFERROR(IF(COUNTIFS(할일표[날짜],F$47,할일표[업무],"&lt;&gt;")&lt;3,"",INDEX(할일표[표시],SMALL(IF((할일표[날짜]=F$47)*(할일표[업무]&lt;&gt;""),ROW(할일표[표시])-ROW(INDEX(할일표[표시],1))+1),3))),"")</f>
        <v/>
      </c>
      <c r="H50" s="80" t="str">
        <f t="array" ref="H50">IFERROR(IF(COUNTIFS(할일표[날짜],F$47,할일표[업무],"&lt;&gt;")&lt;3,"",INDEX(할일표[업무],SMALL(IF((할일표[날짜]=F$47)*(할일표[업무]&lt;&gt;""),ROW(할일표[날짜])-피벗!$T$11),3))),"")</f>
        <v/>
      </c>
      <c r="I50" s="76" t="str">
        <f t="array" ref="I50">IFERROR(IF(COUNTIFS(할일표[날짜],F$47,할일표[업무],"&lt;&gt;")&lt;3,"",INDEX(할일표[진행률],SMALL(IF((할일표[날짜]=F$47)*(할일표[업무]&lt;&gt;""),ROW(할일표[날짜])-피벗!$T$11),3))),"")</f>
        <v/>
      </c>
      <c r="J50" s="74" t="str">
        <f t="array" ref="J50">IFERROR(IF(COUNTIFS(할일표[날짜],J$47,할일표[업무],"&lt;&gt;")&lt;3,"",INDEX(구분표[아이콘],MATCH(INDEX(할일표[구분],SMALL(IF((할일표[날짜]=J$47)*(할일표[업무]&lt;&gt;""),ROW(할일표[구분])-ROW(INDEX(할일표[구분],1))+1),3)),구분표[구분],0))),"")</f>
        <v/>
      </c>
      <c r="K50" s="75" t="str">
        <f t="array" ref="K50">IFERROR(IF(COUNTIFS(할일표[날짜],J$47,할일표[업무],"&lt;&gt;")&lt;3,"",INDEX(할일표[표시],SMALL(IF((할일표[날짜]=J$47)*(할일표[업무]&lt;&gt;""),ROW(할일표[표시])-ROW(INDEX(할일표[표시],1))+1),3))),"")</f>
        <v/>
      </c>
      <c r="L50" s="80" t="str">
        <f t="array" ref="L50">IFERROR(IF(COUNTIFS(할일표[날짜],J$47,할일표[업무],"&lt;&gt;")&lt;3,"",INDEX(할일표[업무],SMALL(IF((할일표[날짜]=J$47)*(할일표[업무]&lt;&gt;""),ROW(할일표[날짜])-피벗!$T$11),3))),"")</f>
        <v/>
      </c>
      <c r="M50" s="76" t="str">
        <f t="array" ref="M50">IFERROR(IF(COUNTIFS(할일표[날짜],J$47,할일표[업무],"&lt;&gt;")&lt;3,"",INDEX(할일표[진행률],SMALL(IF((할일표[날짜]=J$47)*(할일표[업무]&lt;&gt;""),ROW(할일표[날짜])-피벗!$T$11),3))),"")</f>
        <v/>
      </c>
      <c r="N50" s="74" t="str">
        <f t="array" ref="N50">IFERROR(IF(COUNTIFS(할일표[날짜],N$47,할일표[업무],"&lt;&gt;")&lt;3,"",INDEX(구분표[아이콘],MATCH(INDEX(할일표[구분],SMALL(IF((할일표[날짜]=N$47)*(할일표[업무]&lt;&gt;""),ROW(할일표[구분])-ROW(INDEX(할일표[구분],1))+1),3)),구분표[구분],0))),"")</f>
        <v/>
      </c>
      <c r="O50" s="75" t="str">
        <f t="array" ref="O50">IFERROR(IF(COUNTIFS(할일표[날짜],N$47,할일표[업무],"&lt;&gt;")&lt;3,"",INDEX(할일표[표시],SMALL(IF((할일표[날짜]=N$47)*(할일표[업무]&lt;&gt;""),ROW(할일표[표시])-ROW(INDEX(할일표[표시],1))+1),3))),"")</f>
        <v/>
      </c>
      <c r="P50" s="80" t="str">
        <f t="array" ref="P50">IFERROR(IF(COUNTIFS(할일표[날짜],N$47,할일표[업무],"&lt;&gt;")&lt;3,"",INDEX(할일표[업무],SMALL(IF((할일표[날짜]=N$47)*(할일표[업무]&lt;&gt;""),ROW(할일표[날짜])-피벗!$T$11),3))),"")</f>
        <v/>
      </c>
      <c r="Q50" s="76" t="str">
        <f t="array" ref="Q50">IFERROR(IF(COUNTIFS(할일표[날짜],N$47,할일표[업무],"&lt;&gt;")&lt;3,"",INDEX(할일표[진행률],SMALL(IF((할일표[날짜]=N$47)*(할일표[업무]&lt;&gt;""),ROW(할일표[날짜])-피벗!$T$11),3))),"")</f>
        <v/>
      </c>
      <c r="R50" s="74" t="str">
        <f t="array" ref="R50">IFERROR(IF(COUNTIFS(할일표[날짜],R$47,할일표[업무],"&lt;&gt;")&lt;3,"",INDEX(구분표[아이콘],MATCH(INDEX(할일표[구분],SMALL(IF((할일표[날짜]=R$47)*(할일표[업무]&lt;&gt;""),ROW(할일표[구분])-ROW(INDEX(할일표[구분],1))+1),3)),구분표[구분],0))),"")</f>
        <v/>
      </c>
      <c r="S50" s="75" t="str">
        <f t="array" ref="S50">IFERROR(IF(COUNTIFS(할일표[날짜],R$47,할일표[업무],"&lt;&gt;")&lt;3,"",INDEX(할일표[표시],SMALL(IF((할일표[날짜]=R$47)*(할일표[업무]&lt;&gt;""),ROW(할일표[표시])-ROW(INDEX(할일표[표시],1))+1),3))),"")</f>
        <v/>
      </c>
      <c r="T50" s="80" t="str">
        <f t="array" ref="T50">IFERROR(IF(COUNTIFS(할일표[날짜],R$47,할일표[업무],"&lt;&gt;")&lt;3,"",INDEX(할일표[업무],SMALL(IF((할일표[날짜]=R$47)*(할일표[업무]&lt;&gt;""),ROW(할일표[날짜])-피벗!$T$11),3))),"")</f>
        <v/>
      </c>
      <c r="U50" s="76" t="str">
        <f t="array" ref="U50">IFERROR(IF(COUNTIFS(할일표[날짜],R$47,할일표[업무],"&lt;&gt;")&lt;3,"",INDEX(할일표[진행률],SMALL(IF((할일표[날짜]=R$47)*(할일표[업무]&lt;&gt;""),ROW(할일표[날짜])-피벗!$T$11),3))),"")</f>
        <v/>
      </c>
      <c r="V50" s="74" t="str">
        <f t="array" ref="V50">IFERROR(IF(COUNTIFS(할일표[날짜],V$47,할일표[업무],"&lt;&gt;")&lt;3,"",INDEX(구분표[아이콘],MATCH(INDEX(할일표[구분],SMALL(IF((할일표[날짜]=V$47)*(할일표[업무]&lt;&gt;""),ROW(할일표[구분])-ROW(INDEX(할일표[구분],1))+1),3)),구분표[구분],0))),"")</f>
        <v/>
      </c>
      <c r="W50" s="75" t="str">
        <f t="array" ref="W50">IFERROR(IF(COUNTIFS(할일표[날짜],V$47,할일표[업무],"&lt;&gt;")&lt;3,"",INDEX(할일표[표시],SMALL(IF((할일표[날짜]=V$47)*(할일표[업무]&lt;&gt;""),ROW(할일표[표시])-ROW(INDEX(할일표[표시],1))+1),3))),"")</f>
        <v/>
      </c>
      <c r="X50" s="80" t="str">
        <f t="array" ref="X50">IFERROR(IF(COUNTIFS(할일표[날짜],V$47,할일표[업무],"&lt;&gt;")&lt;3,"",INDEX(할일표[업무],SMALL(IF((할일표[날짜]=V$47)*(할일표[업무]&lt;&gt;""),ROW(할일표[날짜])-피벗!$T$11),3))),"")</f>
        <v/>
      </c>
      <c r="Y50" s="76" t="str">
        <f t="array" ref="Y50">IFERROR(IF(COUNTIFS(할일표[날짜],V$47,할일표[업무],"&lt;&gt;")&lt;3,"",INDEX(할일표[진행률],SMALL(IF((할일표[날짜]=V$47)*(할일표[업무]&lt;&gt;""),ROW(할일표[날짜])-피벗!$T$11),3))),"")</f>
        <v/>
      </c>
      <c r="Z50" s="74" t="str">
        <f t="array" ref="Z50">IFERROR(IF(COUNTIFS(할일표[날짜],Z$47,할일표[업무],"&lt;&gt;")&lt;3,"",INDEX(구분표[아이콘],MATCH(INDEX(할일표[구분],SMALL(IF((할일표[날짜]=Z$47)*(할일표[업무]&lt;&gt;""),ROW(할일표[구분])-ROW(INDEX(할일표[구분],1))+1),3)),구분표[구분],0))),"")</f>
        <v/>
      </c>
      <c r="AA50" s="75" t="str">
        <f t="array" ref="AA50">IFERROR(IF(COUNTIFS(할일표[날짜],Z$47,할일표[업무],"&lt;&gt;")&lt;3,"",INDEX(할일표[표시],SMALL(IF((할일표[날짜]=Z$47)*(할일표[업무]&lt;&gt;""),ROW(할일표[표시])-ROW(INDEX(할일표[표시],1))+1),3))),"")</f>
        <v/>
      </c>
      <c r="AB50" s="80" t="str">
        <f t="array" ref="AB50">IFERROR(IF(COUNTIFS(할일표[날짜],Z$47,할일표[업무],"&lt;&gt;")&lt;3,"",INDEX(할일표[업무],SMALL(IF((할일표[날짜]=Z$47)*(할일표[업무]&lt;&gt;""),ROW(할일표[날짜])-피벗!$T$11),3))),"")</f>
        <v/>
      </c>
      <c r="AC50" s="76" t="str">
        <f t="array" ref="AC50">IFERROR(IF(COUNTIFS(할일표[날짜],Z$47,할일표[업무],"&lt;&gt;")&lt;3,"",INDEX(할일표[진행률],SMALL(IF((할일표[날짜]=Z$47)*(할일표[업무]&lt;&gt;""),ROW(할일표[날짜])-피벗!$T$11),3))),"")</f>
        <v/>
      </c>
    </row>
    <row r="51" spans="2:43" s="48" customFormat="1" ht="21" customHeight="1" x14ac:dyDescent="0.45">
      <c r="B51" s="74" t="str">
        <f t="array" ref="B51">IFERROR(IF(COUNTIFS(할일표[날짜],B$47,할일표[업무],"&lt;&gt;")&lt;4,"",INDEX(구분표[아이콘],MATCH(INDEX(할일표[구분],SMALL(IF((할일표[날짜]=B$47)*(할일표[업무]&lt;&gt;""),ROW(할일표[구분])-ROW(INDEX(할일표[구분],1))+1),4)),구분표[구분],0))),"")</f>
        <v/>
      </c>
      <c r="C51" s="75" t="str">
        <f t="array" ref="C51">IFERROR(IF(COUNTIFS(할일표[날짜],B$47,할일표[업무],"&lt;&gt;")&lt;4,"",INDEX(할일표[표시],SMALL(IF((할일표[날짜]=B$47)*(할일표[업무]&lt;&gt;""),ROW(할일표[표시])-ROW(INDEX(할일표[표시],1))+1),4))),"")</f>
        <v/>
      </c>
      <c r="D51" s="80" t="str">
        <f t="array" ref="D51">IFERROR(IF(COUNTIFS(할일표[날짜],B$47,할일표[업무],"&lt;&gt;")&lt;4,"",INDEX(할일표[업무],SMALL(IF((할일표[날짜]=B$47)*(할일표[업무]&lt;&gt;""),ROW(할일표[날짜])-피벗!$T$11),4))),"")</f>
        <v/>
      </c>
      <c r="E51" s="76" t="str">
        <f t="array" ref="E51">IFERROR(IF(COUNTIFS(할일표[날짜],B$47,할일표[업무],"&lt;&gt;")&lt;4,"",INDEX(할일표[진행률],SMALL(IF((할일표[날짜]=B$47)*(할일표[업무]&lt;&gt;""),ROW(할일표[날짜])-피벗!$T$11),4))),"")</f>
        <v/>
      </c>
      <c r="F51" s="74" t="str">
        <f t="array" ref="F51">IFERROR(IF(COUNTIFS(할일표[날짜],F$47,할일표[업무],"&lt;&gt;")&lt;4,"",INDEX(구분표[아이콘],MATCH(INDEX(할일표[구분],SMALL(IF((할일표[날짜]=F$47)*(할일표[업무]&lt;&gt;""),ROW(할일표[구분])-ROW(INDEX(할일표[구분],1))+1),4)),구분표[구분],0))),"")</f>
        <v/>
      </c>
      <c r="G51" s="75" t="str">
        <f t="array" ref="G51">IFERROR(IF(COUNTIFS(할일표[날짜],F$47,할일표[업무],"&lt;&gt;")&lt;4,"",INDEX(할일표[표시],SMALL(IF((할일표[날짜]=F$47)*(할일표[업무]&lt;&gt;""),ROW(할일표[표시])-ROW(INDEX(할일표[표시],1))+1),4))),"")</f>
        <v/>
      </c>
      <c r="H51" s="80" t="str">
        <f t="array" ref="H51">IFERROR(IF(COUNTIFS(할일표[날짜],F$47,할일표[업무],"&lt;&gt;")&lt;4,"",INDEX(할일표[업무],SMALL(IF((할일표[날짜]=F$47)*(할일표[업무]&lt;&gt;""),ROW(할일표[날짜])-피벗!$T$11),4))),"")</f>
        <v/>
      </c>
      <c r="I51" s="76" t="str">
        <f t="array" ref="I51">IFERROR(IF(COUNTIFS(할일표[날짜],F$47,할일표[업무],"&lt;&gt;")&lt;4,"",INDEX(할일표[진행률],SMALL(IF((할일표[날짜]=F$47)*(할일표[업무]&lt;&gt;""),ROW(할일표[날짜])-피벗!$T$11),4))),"")</f>
        <v/>
      </c>
      <c r="J51" s="74" t="str">
        <f t="array" ref="J51">IFERROR(IF(COUNTIFS(할일표[날짜],J$47,할일표[업무],"&lt;&gt;")&lt;4,"",INDEX(구분표[아이콘],MATCH(INDEX(할일표[구분],SMALL(IF((할일표[날짜]=J$47)*(할일표[업무]&lt;&gt;""),ROW(할일표[구분])-ROW(INDEX(할일표[구분],1))+1),4)),구분표[구분],0))),"")</f>
        <v/>
      </c>
      <c r="K51" s="75" t="str">
        <f t="array" ref="K51">IFERROR(IF(COUNTIFS(할일표[날짜],J$47,할일표[업무],"&lt;&gt;")&lt;4,"",INDEX(할일표[표시],SMALL(IF((할일표[날짜]=J$47)*(할일표[업무]&lt;&gt;""),ROW(할일표[표시])-ROW(INDEX(할일표[표시],1))+1),4))),"")</f>
        <v/>
      </c>
      <c r="L51" s="80" t="str">
        <f t="array" ref="L51">IFERROR(IF(COUNTIFS(할일표[날짜],J$47,할일표[업무],"&lt;&gt;")&lt;4,"",INDEX(할일표[업무],SMALL(IF((할일표[날짜]=J$47)*(할일표[업무]&lt;&gt;""),ROW(할일표[날짜])-피벗!$T$11),4))),"")</f>
        <v/>
      </c>
      <c r="M51" s="76" t="str">
        <f t="array" ref="M51">IFERROR(IF(COUNTIFS(할일표[날짜],J$47,할일표[업무],"&lt;&gt;")&lt;4,"",INDEX(할일표[진행률],SMALL(IF((할일표[날짜]=J$47)*(할일표[업무]&lt;&gt;""),ROW(할일표[날짜])-피벗!$T$11),4))),"")</f>
        <v/>
      </c>
      <c r="N51" s="74" t="str">
        <f t="array" ref="N51">IFERROR(IF(COUNTIFS(할일표[날짜],N$47,할일표[업무],"&lt;&gt;")&lt;4,"",INDEX(구분표[아이콘],MATCH(INDEX(할일표[구분],SMALL(IF((할일표[날짜]=N$47)*(할일표[업무]&lt;&gt;""),ROW(할일표[구분])-ROW(INDEX(할일표[구분],1))+1),4)),구분표[구분],0))),"")</f>
        <v/>
      </c>
      <c r="O51" s="75" t="str">
        <f t="array" ref="O51">IFERROR(IF(COUNTIFS(할일표[날짜],N$47,할일표[업무],"&lt;&gt;")&lt;4,"",INDEX(할일표[표시],SMALL(IF((할일표[날짜]=N$47)*(할일표[업무]&lt;&gt;""),ROW(할일표[표시])-ROW(INDEX(할일표[표시],1))+1),4))),"")</f>
        <v/>
      </c>
      <c r="P51" s="80" t="str">
        <f t="array" ref="P51">IFERROR(IF(COUNTIFS(할일표[날짜],N$47,할일표[업무],"&lt;&gt;")&lt;4,"",INDEX(할일표[업무],SMALL(IF((할일표[날짜]=N$47)*(할일표[업무]&lt;&gt;""),ROW(할일표[날짜])-피벗!$T$11),4))),"")</f>
        <v/>
      </c>
      <c r="Q51" s="76" t="str">
        <f t="array" ref="Q51">IFERROR(IF(COUNTIFS(할일표[날짜],N$47,할일표[업무],"&lt;&gt;")&lt;4,"",INDEX(할일표[진행률],SMALL(IF((할일표[날짜]=N$47)*(할일표[업무]&lt;&gt;""),ROW(할일표[날짜])-피벗!$T$11),4))),"")</f>
        <v/>
      </c>
      <c r="R51" s="74" t="str">
        <f t="array" ref="R51">IFERROR(IF(COUNTIFS(할일표[날짜],R$47,할일표[업무],"&lt;&gt;")&lt;4,"",INDEX(구분표[아이콘],MATCH(INDEX(할일표[구분],SMALL(IF((할일표[날짜]=R$47)*(할일표[업무]&lt;&gt;""),ROW(할일표[구분])-ROW(INDEX(할일표[구분],1))+1),4)),구분표[구분],0))),"")</f>
        <v/>
      </c>
      <c r="S51" s="75" t="str">
        <f t="array" ref="S51">IFERROR(IF(COUNTIFS(할일표[날짜],R$47,할일표[업무],"&lt;&gt;")&lt;4,"",INDEX(할일표[표시],SMALL(IF((할일표[날짜]=R$47)*(할일표[업무]&lt;&gt;""),ROW(할일표[표시])-ROW(INDEX(할일표[표시],1))+1),4))),"")</f>
        <v/>
      </c>
      <c r="T51" s="80" t="str">
        <f t="array" ref="T51">IFERROR(IF(COUNTIFS(할일표[날짜],R$47,할일표[업무],"&lt;&gt;")&lt;4,"",INDEX(할일표[업무],SMALL(IF((할일표[날짜]=R$47)*(할일표[업무]&lt;&gt;""),ROW(할일표[날짜])-피벗!$T$11),4))),"")</f>
        <v/>
      </c>
      <c r="U51" s="76" t="str">
        <f t="array" ref="U51">IFERROR(IF(COUNTIFS(할일표[날짜],R$47,할일표[업무],"&lt;&gt;")&lt;4,"",INDEX(할일표[진행률],SMALL(IF((할일표[날짜]=R$47)*(할일표[업무]&lt;&gt;""),ROW(할일표[날짜])-피벗!$T$11),4))),"")</f>
        <v/>
      </c>
      <c r="V51" s="74" t="str">
        <f t="array" ref="V51">IFERROR(IF(COUNTIFS(할일표[날짜],V$47,할일표[업무],"&lt;&gt;")&lt;4,"",INDEX(구분표[아이콘],MATCH(INDEX(할일표[구분],SMALL(IF((할일표[날짜]=V$47)*(할일표[업무]&lt;&gt;""),ROW(할일표[구분])-ROW(INDEX(할일표[구분],1))+1),4)),구분표[구분],0))),"")</f>
        <v/>
      </c>
      <c r="W51" s="75" t="str">
        <f t="array" ref="W51">IFERROR(IF(COUNTIFS(할일표[날짜],V$47,할일표[업무],"&lt;&gt;")&lt;4,"",INDEX(할일표[표시],SMALL(IF((할일표[날짜]=V$47)*(할일표[업무]&lt;&gt;""),ROW(할일표[표시])-ROW(INDEX(할일표[표시],1))+1),4))),"")</f>
        <v/>
      </c>
      <c r="X51" s="80" t="str">
        <f t="array" ref="X51">IFERROR(IF(COUNTIFS(할일표[날짜],V$47,할일표[업무],"&lt;&gt;")&lt;4,"",INDEX(할일표[업무],SMALL(IF((할일표[날짜]=V$47)*(할일표[업무]&lt;&gt;""),ROW(할일표[날짜])-피벗!$T$11),4))),"")</f>
        <v/>
      </c>
      <c r="Y51" s="76" t="str">
        <f t="array" ref="Y51">IFERROR(IF(COUNTIFS(할일표[날짜],V$47,할일표[업무],"&lt;&gt;")&lt;4,"",INDEX(할일표[진행률],SMALL(IF((할일표[날짜]=V$47)*(할일표[업무]&lt;&gt;""),ROW(할일표[날짜])-피벗!$T$11),4))),"")</f>
        <v/>
      </c>
      <c r="Z51" s="74" t="str">
        <f t="array" ref="Z51">IFERROR(IF(COUNTIFS(할일표[날짜],Z$47,할일표[업무],"&lt;&gt;")&lt;4,"",INDEX(구분표[아이콘],MATCH(INDEX(할일표[구분],SMALL(IF((할일표[날짜]=Z$47)*(할일표[업무]&lt;&gt;""),ROW(할일표[구분])-ROW(INDEX(할일표[구분],1))+1),4)),구분표[구분],0))),"")</f>
        <v/>
      </c>
      <c r="AA51" s="75" t="str">
        <f t="array" ref="AA51">IFERROR(IF(COUNTIFS(할일표[날짜],Z$47,할일표[업무],"&lt;&gt;")&lt;4,"",INDEX(할일표[표시],SMALL(IF((할일표[날짜]=Z$47)*(할일표[업무]&lt;&gt;""),ROW(할일표[표시])-ROW(INDEX(할일표[표시],1))+1),4))),"")</f>
        <v/>
      </c>
      <c r="AB51" s="80" t="str">
        <f t="array" ref="AB51">IFERROR(IF(COUNTIFS(할일표[날짜],Z$47,할일표[업무],"&lt;&gt;")&lt;4,"",INDEX(할일표[업무],SMALL(IF((할일표[날짜]=Z$47)*(할일표[업무]&lt;&gt;""),ROW(할일표[날짜])-피벗!$T$11),4))),"")</f>
        <v/>
      </c>
      <c r="AC51" s="76" t="str">
        <f t="array" ref="AC51">IFERROR(IF(COUNTIFS(할일표[날짜],Z$47,할일표[업무],"&lt;&gt;")&lt;4,"",INDEX(할일표[진행률],SMALL(IF((할일표[날짜]=Z$47)*(할일표[업무]&lt;&gt;""),ROW(할일표[날짜])-피벗!$T$11),4))),"")</f>
        <v/>
      </c>
    </row>
    <row r="52" spans="2:43" s="48" customFormat="1" ht="21" customHeight="1" x14ac:dyDescent="0.45">
      <c r="B52" s="74" t="str">
        <f t="array" ref="B52">IFERROR(IF(COUNTIFS(할일표[날짜],B$47,할일표[업무],"&lt;&gt;")&lt;5,"",INDEX(구분표[아이콘],MATCH(INDEX(할일표[구분],SMALL(IF((할일표[날짜]=B$47)*(할일표[업무]&lt;&gt;""),ROW(할일표[구분])-ROW(INDEX(할일표[구분],1))+1),5)),구분표[구분],0))),"")</f>
        <v/>
      </c>
      <c r="C52" s="75" t="str">
        <f t="array" ref="C52">IFERROR(IF(COUNTIFS(할일표[날짜],B$47,할일표[업무],"&lt;&gt;")&lt;5,"",INDEX(할일표[표시],SMALL(IF((할일표[날짜]=B$47)*(할일표[업무]&lt;&gt;""),ROW(할일표[표시])-ROW(INDEX(할일표[표시],1))+1),5))),"")</f>
        <v/>
      </c>
      <c r="D52" s="80" t="str">
        <f t="array" ref="D52">IFERROR(IF(COUNTIFS(할일표[날짜],B$47,할일표[업무],"&lt;&gt;")&lt;5,"",INDEX(할일표[업무],SMALL(IF((할일표[날짜]=B$47)*(할일표[업무]&lt;&gt;""),ROW(할일표[날짜])-피벗!$T$11),5))),"")</f>
        <v/>
      </c>
      <c r="E52" s="76" t="str">
        <f t="array" ref="E52">IFERROR(IF(COUNTIFS(할일표[날짜],B$47,할일표[업무],"&lt;&gt;")&lt;5,"",INDEX(할일표[진행률],SMALL(IF((할일표[날짜]=B$47)*(할일표[업무]&lt;&gt;""),ROW(할일표[날짜])-피벗!$T$11),5))),"")</f>
        <v/>
      </c>
      <c r="F52" s="74" t="str">
        <f t="array" ref="F52">IFERROR(IF(COUNTIFS(할일표[날짜],F$47,할일표[업무],"&lt;&gt;")&lt;5,"",INDEX(구분표[아이콘],MATCH(INDEX(할일표[구분],SMALL(IF((할일표[날짜]=F$47)*(할일표[업무]&lt;&gt;""),ROW(할일표[구분])-ROW(INDEX(할일표[구분],1))+1),5)),구분표[구분],0))),"")</f>
        <v/>
      </c>
      <c r="G52" s="75" t="str">
        <f t="array" ref="G52">IFERROR(IF(COUNTIFS(할일표[날짜],F$47,할일표[업무],"&lt;&gt;")&lt;5,"",INDEX(할일표[표시],SMALL(IF((할일표[날짜]=F$47)*(할일표[업무]&lt;&gt;""),ROW(할일표[표시])-ROW(INDEX(할일표[표시],1))+1),5))),"")</f>
        <v/>
      </c>
      <c r="H52" s="80" t="str">
        <f t="array" ref="H52">IFERROR(IF(COUNTIFS(할일표[날짜],F$47,할일표[업무],"&lt;&gt;")&lt;5,"",INDEX(할일표[업무],SMALL(IF((할일표[날짜]=F$47)*(할일표[업무]&lt;&gt;""),ROW(할일표[날짜])-피벗!$T$11),5))),"")</f>
        <v/>
      </c>
      <c r="I52" s="76" t="str">
        <f t="array" ref="I52">IFERROR(IF(COUNTIFS(할일표[날짜],F$47,할일표[업무],"&lt;&gt;")&lt;5,"",INDEX(할일표[진행률],SMALL(IF((할일표[날짜]=F$47)*(할일표[업무]&lt;&gt;""),ROW(할일표[날짜])-피벗!$T$11),5))),"")</f>
        <v/>
      </c>
      <c r="J52" s="74" t="str">
        <f t="array" ref="J52">IFERROR(IF(COUNTIFS(할일표[날짜],J$47,할일표[업무],"&lt;&gt;")&lt;5,"",INDEX(구분표[아이콘],MATCH(INDEX(할일표[구분],SMALL(IF((할일표[날짜]=J$47)*(할일표[업무]&lt;&gt;""),ROW(할일표[구분])-ROW(INDEX(할일표[구분],1))+1),5)),구분표[구분],0))),"")</f>
        <v/>
      </c>
      <c r="K52" s="75" t="str">
        <f t="array" ref="K52">IFERROR(IF(COUNTIFS(할일표[날짜],J$47,할일표[업무],"&lt;&gt;")&lt;5,"",INDEX(할일표[표시],SMALL(IF((할일표[날짜]=J$47)*(할일표[업무]&lt;&gt;""),ROW(할일표[표시])-ROW(INDEX(할일표[표시],1))+1),5))),"")</f>
        <v/>
      </c>
      <c r="L52" s="80" t="str">
        <f t="array" ref="L52">IFERROR(IF(COUNTIFS(할일표[날짜],J$47,할일표[업무],"&lt;&gt;")&lt;5,"",INDEX(할일표[업무],SMALL(IF((할일표[날짜]=J$47)*(할일표[업무]&lt;&gt;""),ROW(할일표[날짜])-피벗!$T$11),5))),"")</f>
        <v/>
      </c>
      <c r="M52" s="76" t="str">
        <f t="array" ref="M52">IFERROR(IF(COUNTIFS(할일표[날짜],J$47,할일표[업무],"&lt;&gt;")&lt;5,"",INDEX(할일표[진행률],SMALL(IF((할일표[날짜]=J$47)*(할일표[업무]&lt;&gt;""),ROW(할일표[날짜])-피벗!$T$11),5))),"")</f>
        <v/>
      </c>
      <c r="N52" s="74" t="str">
        <f t="array" ref="N52">IFERROR(IF(COUNTIFS(할일표[날짜],N$47,할일표[업무],"&lt;&gt;")&lt;5,"",INDEX(구분표[아이콘],MATCH(INDEX(할일표[구분],SMALL(IF((할일표[날짜]=N$47)*(할일표[업무]&lt;&gt;""),ROW(할일표[구분])-ROW(INDEX(할일표[구분],1))+1),5)),구분표[구분],0))),"")</f>
        <v/>
      </c>
      <c r="O52" s="75" t="str">
        <f t="array" ref="O52">IFERROR(IF(COUNTIFS(할일표[날짜],N$47,할일표[업무],"&lt;&gt;")&lt;5,"",INDEX(할일표[표시],SMALL(IF((할일표[날짜]=N$47)*(할일표[업무]&lt;&gt;""),ROW(할일표[표시])-ROW(INDEX(할일표[표시],1))+1),5))),"")</f>
        <v/>
      </c>
      <c r="P52" s="80" t="str">
        <f t="array" ref="P52">IFERROR(IF(COUNTIFS(할일표[날짜],N$47,할일표[업무],"&lt;&gt;")&lt;5,"",INDEX(할일표[업무],SMALL(IF((할일표[날짜]=N$47)*(할일표[업무]&lt;&gt;""),ROW(할일표[날짜])-피벗!$T$11),5))),"")</f>
        <v/>
      </c>
      <c r="Q52" s="76" t="str">
        <f t="array" ref="Q52">IFERROR(IF(COUNTIFS(할일표[날짜],N$47,할일표[업무],"&lt;&gt;")&lt;5,"",INDEX(할일표[진행률],SMALL(IF((할일표[날짜]=N$47)*(할일표[업무]&lt;&gt;""),ROW(할일표[날짜])-피벗!$T$11),5))),"")</f>
        <v/>
      </c>
      <c r="R52" s="74" t="str">
        <f t="array" ref="R52">IFERROR(IF(COUNTIFS(할일표[날짜],R$47,할일표[업무],"&lt;&gt;")&lt;5,"",INDEX(구분표[아이콘],MATCH(INDEX(할일표[구분],SMALL(IF((할일표[날짜]=R$47)*(할일표[업무]&lt;&gt;""),ROW(할일표[구분])-ROW(INDEX(할일표[구분],1))+1),5)),구분표[구분],0))),"")</f>
        <v/>
      </c>
      <c r="S52" s="75" t="str">
        <f t="array" ref="S52">IFERROR(IF(COUNTIFS(할일표[날짜],R$47,할일표[업무],"&lt;&gt;")&lt;5,"",INDEX(할일표[표시],SMALL(IF((할일표[날짜]=R$47)*(할일표[업무]&lt;&gt;""),ROW(할일표[표시])-ROW(INDEX(할일표[표시],1))+1),5))),"")</f>
        <v/>
      </c>
      <c r="T52" s="80" t="str">
        <f t="array" ref="T52">IFERROR(IF(COUNTIFS(할일표[날짜],R$47,할일표[업무],"&lt;&gt;")&lt;5,"",INDEX(할일표[업무],SMALL(IF((할일표[날짜]=R$47)*(할일표[업무]&lt;&gt;""),ROW(할일표[날짜])-피벗!$T$11),5))),"")</f>
        <v/>
      </c>
      <c r="U52" s="76" t="str">
        <f t="array" ref="U52">IFERROR(IF(COUNTIFS(할일표[날짜],R$47,할일표[업무],"&lt;&gt;")&lt;5,"",INDEX(할일표[진행률],SMALL(IF((할일표[날짜]=R$47)*(할일표[업무]&lt;&gt;""),ROW(할일표[날짜])-피벗!$T$11),5))),"")</f>
        <v/>
      </c>
      <c r="V52" s="74" t="str">
        <f t="array" ref="V52">IFERROR(IF(COUNTIFS(할일표[날짜],V$47,할일표[업무],"&lt;&gt;")&lt;5,"",INDEX(구분표[아이콘],MATCH(INDEX(할일표[구분],SMALL(IF((할일표[날짜]=V$47)*(할일표[업무]&lt;&gt;""),ROW(할일표[구분])-ROW(INDEX(할일표[구분],1))+1),5)),구분표[구분],0))),"")</f>
        <v/>
      </c>
      <c r="W52" s="75" t="str">
        <f t="array" ref="W52">IFERROR(IF(COUNTIFS(할일표[날짜],V$47,할일표[업무],"&lt;&gt;")&lt;5,"",INDEX(할일표[표시],SMALL(IF((할일표[날짜]=V$47)*(할일표[업무]&lt;&gt;""),ROW(할일표[표시])-ROW(INDEX(할일표[표시],1))+1),5))),"")</f>
        <v/>
      </c>
      <c r="X52" s="80" t="str">
        <f t="array" ref="X52">IFERROR(IF(COUNTIFS(할일표[날짜],V$47,할일표[업무],"&lt;&gt;")&lt;5,"",INDEX(할일표[업무],SMALL(IF((할일표[날짜]=V$47)*(할일표[업무]&lt;&gt;""),ROW(할일표[날짜])-피벗!$T$11),5))),"")</f>
        <v/>
      </c>
      <c r="Y52" s="76" t="str">
        <f t="array" ref="Y52">IFERROR(IF(COUNTIFS(할일표[날짜],V$47,할일표[업무],"&lt;&gt;")&lt;5,"",INDEX(할일표[진행률],SMALL(IF((할일표[날짜]=V$47)*(할일표[업무]&lt;&gt;""),ROW(할일표[날짜])-피벗!$T$11),5))),"")</f>
        <v/>
      </c>
      <c r="Z52" s="74" t="str">
        <f t="array" ref="Z52">IFERROR(IF(COUNTIFS(할일표[날짜],Z$47,할일표[업무],"&lt;&gt;")&lt;5,"",INDEX(구분표[아이콘],MATCH(INDEX(할일표[구분],SMALL(IF((할일표[날짜]=Z$47)*(할일표[업무]&lt;&gt;""),ROW(할일표[구분])-ROW(INDEX(할일표[구분],1))+1),5)),구분표[구분],0))),"")</f>
        <v/>
      </c>
      <c r="AA52" s="75" t="str">
        <f t="array" ref="AA52">IFERROR(IF(COUNTIFS(할일표[날짜],Z$47,할일표[업무],"&lt;&gt;")&lt;5,"",INDEX(할일표[표시],SMALL(IF((할일표[날짜]=Z$47)*(할일표[업무]&lt;&gt;""),ROW(할일표[표시])-ROW(INDEX(할일표[표시],1))+1),5))),"")</f>
        <v/>
      </c>
      <c r="AB52" s="80" t="str">
        <f t="array" ref="AB52">IFERROR(IF(COUNTIFS(할일표[날짜],Z$47,할일표[업무],"&lt;&gt;")&lt;5,"",INDEX(할일표[업무],SMALL(IF((할일표[날짜]=Z$47)*(할일표[업무]&lt;&gt;""),ROW(할일표[날짜])-피벗!$T$11),5))),"")</f>
        <v/>
      </c>
      <c r="AC52" s="76" t="str">
        <f t="array" ref="AC52">IFERROR(IF(COUNTIFS(할일표[날짜],Z$47,할일표[업무],"&lt;&gt;")&lt;5,"",INDEX(할일표[진행률],SMALL(IF((할일표[날짜]=Z$47)*(할일표[업무]&lt;&gt;""),ROW(할일표[날짜])-피벗!$T$11),5))),"")</f>
        <v/>
      </c>
    </row>
    <row r="53" spans="2:43" s="48" customFormat="1" ht="21" customHeight="1" x14ac:dyDescent="0.45">
      <c r="B53" s="74" t="str">
        <f t="array" ref="B53">IFERROR(IF(COUNTIFS(할일표[날짜],B$47,할일표[업무],"&lt;&gt;")&lt;6,"",INDEX(구분표[아이콘],MATCH(INDEX(할일표[구분],SMALL(IF((할일표[날짜]=B$47)*(할일표[업무]&lt;&gt;""),ROW(할일표[구분])-ROW(INDEX(할일표[구분],1))+1),6)),구분표[구분],0))),"")</f>
        <v/>
      </c>
      <c r="C53" s="75" t="str">
        <f t="array" ref="C53">IFERROR(IF(COUNTIFS(할일표[날짜],B$47,할일표[업무],"&lt;&gt;")&lt;6,"",INDEX(할일표[표시],SMALL(IF((할일표[날짜]=B$47)*(할일표[업무]&lt;&gt;""),ROW(할일표[표시])-ROW(INDEX(할일표[표시],1))+1),6))),"")</f>
        <v/>
      </c>
      <c r="D53" s="80" t="str">
        <f t="array" ref="D53">IFERROR(IF(COUNTIFS(할일표[날짜],B$47,할일표[업무],"&lt;&gt;")&lt;6,"",INDEX(할일표[업무],SMALL(IF((할일표[날짜]=B$47)*(할일표[업무]&lt;&gt;""),ROW(할일표[날짜])-피벗!$T$11),6))),"")</f>
        <v/>
      </c>
      <c r="E53" s="76" t="str">
        <f t="array" ref="E53">IFERROR(IF(COUNTIFS(할일표[날짜],B$47,할일표[업무],"&lt;&gt;")&lt;6,"",INDEX(할일표[진행률],SMALL(IF((할일표[날짜]=B$47)*(할일표[업무]&lt;&gt;""),ROW(할일표[날짜])-피벗!$T$11),6))),"")</f>
        <v/>
      </c>
      <c r="F53" s="74" t="str">
        <f t="array" ref="F53">IFERROR(IF(COUNTIFS(할일표[날짜],F$47,할일표[업무],"&lt;&gt;")&lt;6,"",INDEX(구분표[아이콘],MATCH(INDEX(할일표[구분],SMALL(IF((할일표[날짜]=F$47)*(할일표[업무]&lt;&gt;""),ROW(할일표[구분])-ROW(INDEX(할일표[구분],1))+1),6)),구분표[구분],0))),"")</f>
        <v/>
      </c>
      <c r="G53" s="75" t="str">
        <f t="array" ref="G53">IFERROR(IF(COUNTIFS(할일표[날짜],F$47,할일표[업무],"&lt;&gt;")&lt;6,"",INDEX(할일표[표시],SMALL(IF((할일표[날짜]=F$47)*(할일표[업무]&lt;&gt;""),ROW(할일표[표시])-ROW(INDEX(할일표[표시],1))+1),6))),"")</f>
        <v/>
      </c>
      <c r="H53" s="80" t="str">
        <f t="array" ref="H53">IFERROR(IF(COUNTIFS(할일표[날짜],F$47,할일표[업무],"&lt;&gt;")&lt;6,"",INDEX(할일표[업무],SMALL(IF((할일표[날짜]=F$47)*(할일표[업무]&lt;&gt;""),ROW(할일표[날짜])-피벗!$T$11),6))),"")</f>
        <v/>
      </c>
      <c r="I53" s="76" t="str">
        <f t="array" ref="I53">IFERROR(IF(COUNTIFS(할일표[날짜],F$47,할일표[업무],"&lt;&gt;")&lt;6,"",INDEX(할일표[진행률],SMALL(IF((할일표[날짜]=F$47)*(할일표[업무]&lt;&gt;""),ROW(할일표[날짜])-피벗!$T$11),6))),"")</f>
        <v/>
      </c>
      <c r="J53" s="74" t="str">
        <f t="array" ref="J53">IFERROR(IF(COUNTIFS(할일표[날짜],J$47,할일표[업무],"&lt;&gt;")&lt;6,"",INDEX(구분표[아이콘],MATCH(INDEX(할일표[구분],SMALL(IF((할일표[날짜]=J$47)*(할일표[업무]&lt;&gt;""),ROW(할일표[구분])-ROW(INDEX(할일표[구분],1))+1),6)),구분표[구분],0))),"")</f>
        <v/>
      </c>
      <c r="K53" s="75" t="str">
        <f t="array" ref="K53">IFERROR(IF(COUNTIFS(할일표[날짜],J$47,할일표[업무],"&lt;&gt;")&lt;6,"",INDEX(할일표[표시],SMALL(IF((할일표[날짜]=J$47)*(할일표[업무]&lt;&gt;""),ROW(할일표[표시])-ROW(INDEX(할일표[표시],1))+1),6))),"")</f>
        <v/>
      </c>
      <c r="L53" s="80" t="str">
        <f t="array" ref="L53">IFERROR(IF(COUNTIFS(할일표[날짜],J$47,할일표[업무],"&lt;&gt;")&lt;6,"",INDEX(할일표[업무],SMALL(IF((할일표[날짜]=J$47)*(할일표[업무]&lt;&gt;""),ROW(할일표[날짜])-피벗!$T$11),6))),"")</f>
        <v/>
      </c>
      <c r="M53" s="76" t="str">
        <f t="array" ref="M53">IFERROR(IF(COUNTIFS(할일표[날짜],J$47,할일표[업무],"&lt;&gt;")&lt;6,"",INDEX(할일표[진행률],SMALL(IF((할일표[날짜]=J$47)*(할일표[업무]&lt;&gt;""),ROW(할일표[날짜])-피벗!$T$11),6))),"")</f>
        <v/>
      </c>
      <c r="N53" s="74" t="str">
        <f t="array" ref="N53">IFERROR(IF(COUNTIFS(할일표[날짜],N$47,할일표[업무],"&lt;&gt;")&lt;6,"",INDEX(구분표[아이콘],MATCH(INDEX(할일표[구분],SMALL(IF((할일표[날짜]=N$47)*(할일표[업무]&lt;&gt;""),ROW(할일표[구분])-ROW(INDEX(할일표[구분],1))+1),6)),구분표[구분],0))),"")</f>
        <v/>
      </c>
      <c r="O53" s="75" t="str">
        <f t="array" ref="O53">IFERROR(IF(COUNTIFS(할일표[날짜],N$47,할일표[업무],"&lt;&gt;")&lt;6,"",INDEX(할일표[표시],SMALL(IF((할일표[날짜]=N$47)*(할일표[업무]&lt;&gt;""),ROW(할일표[표시])-ROW(INDEX(할일표[표시],1))+1),6))),"")</f>
        <v/>
      </c>
      <c r="P53" s="80" t="str">
        <f t="array" ref="P53">IFERROR(IF(COUNTIFS(할일표[날짜],N$47,할일표[업무],"&lt;&gt;")&lt;6,"",INDEX(할일표[업무],SMALL(IF((할일표[날짜]=N$47)*(할일표[업무]&lt;&gt;""),ROW(할일표[날짜])-피벗!$T$11),6))),"")</f>
        <v/>
      </c>
      <c r="Q53" s="76" t="str">
        <f t="array" ref="Q53">IFERROR(IF(COUNTIFS(할일표[날짜],N$47,할일표[업무],"&lt;&gt;")&lt;6,"",INDEX(할일표[진행률],SMALL(IF((할일표[날짜]=N$47)*(할일표[업무]&lt;&gt;""),ROW(할일표[날짜])-피벗!$T$11),6))),"")</f>
        <v/>
      </c>
      <c r="R53" s="74" t="str">
        <f t="array" ref="R53">IFERROR(IF(COUNTIFS(할일표[날짜],R$47,할일표[업무],"&lt;&gt;")&lt;6,"",INDEX(구분표[아이콘],MATCH(INDEX(할일표[구분],SMALL(IF((할일표[날짜]=R$47)*(할일표[업무]&lt;&gt;""),ROW(할일표[구분])-ROW(INDEX(할일표[구분],1))+1),6)),구분표[구분],0))),"")</f>
        <v/>
      </c>
      <c r="S53" s="75" t="str">
        <f t="array" ref="S53">IFERROR(IF(COUNTIFS(할일표[날짜],R$47,할일표[업무],"&lt;&gt;")&lt;6,"",INDEX(할일표[표시],SMALL(IF((할일표[날짜]=R$47)*(할일표[업무]&lt;&gt;""),ROW(할일표[표시])-ROW(INDEX(할일표[표시],1))+1),6))),"")</f>
        <v/>
      </c>
      <c r="T53" s="80" t="str">
        <f t="array" ref="T53">IFERROR(IF(COUNTIFS(할일표[날짜],R$47,할일표[업무],"&lt;&gt;")&lt;6,"",INDEX(할일표[업무],SMALL(IF((할일표[날짜]=R$47)*(할일표[업무]&lt;&gt;""),ROW(할일표[날짜])-피벗!$T$11),6))),"")</f>
        <v/>
      </c>
      <c r="U53" s="76" t="str">
        <f t="array" ref="U53">IFERROR(IF(COUNTIFS(할일표[날짜],R$47,할일표[업무],"&lt;&gt;")&lt;6,"",INDEX(할일표[진행률],SMALL(IF((할일표[날짜]=R$47)*(할일표[업무]&lt;&gt;""),ROW(할일표[날짜])-피벗!$T$11),6))),"")</f>
        <v/>
      </c>
      <c r="V53" s="74" t="str">
        <f t="array" ref="V53">IFERROR(IF(COUNTIFS(할일표[날짜],V$47,할일표[업무],"&lt;&gt;")&lt;6,"",INDEX(구분표[아이콘],MATCH(INDEX(할일표[구분],SMALL(IF((할일표[날짜]=V$47)*(할일표[업무]&lt;&gt;""),ROW(할일표[구분])-ROW(INDEX(할일표[구분],1))+1),6)),구분표[구분],0))),"")</f>
        <v/>
      </c>
      <c r="W53" s="75" t="str">
        <f t="array" ref="W53">IFERROR(IF(COUNTIFS(할일표[날짜],V$47,할일표[업무],"&lt;&gt;")&lt;6,"",INDEX(할일표[표시],SMALL(IF((할일표[날짜]=V$47)*(할일표[업무]&lt;&gt;""),ROW(할일표[표시])-ROW(INDEX(할일표[표시],1))+1),6))),"")</f>
        <v/>
      </c>
      <c r="X53" s="80" t="str">
        <f t="array" ref="X53">IFERROR(IF(COUNTIFS(할일표[날짜],V$47,할일표[업무],"&lt;&gt;")&lt;6,"",INDEX(할일표[업무],SMALL(IF((할일표[날짜]=V$47)*(할일표[업무]&lt;&gt;""),ROW(할일표[날짜])-피벗!$T$11),6))),"")</f>
        <v/>
      </c>
      <c r="Y53" s="76" t="str">
        <f t="array" ref="Y53">IFERROR(IF(COUNTIFS(할일표[날짜],V$47,할일표[업무],"&lt;&gt;")&lt;6,"",INDEX(할일표[진행률],SMALL(IF((할일표[날짜]=V$47)*(할일표[업무]&lt;&gt;""),ROW(할일표[날짜])-피벗!$T$11),6))),"")</f>
        <v/>
      </c>
      <c r="Z53" s="74" t="str">
        <f t="array" ref="Z53">IFERROR(IF(COUNTIFS(할일표[날짜],Z$47,할일표[업무],"&lt;&gt;")&lt;6,"",INDEX(구분표[아이콘],MATCH(INDEX(할일표[구분],SMALL(IF((할일표[날짜]=Z$47)*(할일표[업무]&lt;&gt;""),ROW(할일표[구분])-ROW(INDEX(할일표[구분],1))+1),6)),구분표[구분],0))),"")</f>
        <v/>
      </c>
      <c r="AA53" s="75" t="str">
        <f t="array" ref="AA53">IFERROR(IF(COUNTIFS(할일표[날짜],Z$47,할일표[업무],"&lt;&gt;")&lt;6,"",INDEX(할일표[표시],SMALL(IF((할일표[날짜]=Z$47)*(할일표[업무]&lt;&gt;""),ROW(할일표[표시])-ROW(INDEX(할일표[표시],1))+1),6))),"")</f>
        <v/>
      </c>
      <c r="AB53" s="80" t="str">
        <f t="array" ref="AB53">IFERROR(IF(COUNTIFS(할일표[날짜],Z$47,할일표[업무],"&lt;&gt;")&lt;6,"",INDEX(할일표[업무],SMALL(IF((할일표[날짜]=Z$47)*(할일표[업무]&lt;&gt;""),ROW(할일표[날짜])-피벗!$T$11),6))),"")</f>
        <v/>
      </c>
      <c r="AC53" s="76" t="str">
        <f t="array" ref="AC53">IFERROR(IF(COUNTIFS(할일표[날짜],Z$47,할일표[업무],"&lt;&gt;")&lt;6,"",INDEX(할일표[진행률],SMALL(IF((할일표[날짜]=Z$47)*(할일표[업무]&lt;&gt;""),ROW(할일표[날짜])-피벗!$T$11),6))),"")</f>
        <v/>
      </c>
    </row>
    <row r="54" spans="2:43" s="48" customFormat="1" ht="21" customHeight="1" x14ac:dyDescent="0.45">
      <c r="B54" s="74" t="str">
        <f t="array" ref="B54">IFERROR(IF(COUNTIFS(할일표[날짜],B$47,할일표[업무],"&lt;&gt;")&lt;7,"",INDEX(구분표[아이콘],MATCH(INDEX(할일표[구분],SMALL(IF((할일표[날짜]=B$47)*(할일표[업무]&lt;&gt;""),ROW(할일표[구분])-ROW(INDEX(할일표[구분],1))+1),7)),구분표[구분],0))),"")</f>
        <v/>
      </c>
      <c r="C54" s="75" t="str">
        <f t="array" ref="C54">IFERROR(IF(COUNTIFS(할일표[날짜],B$47,할일표[업무],"&lt;&gt;")&lt;7,"",INDEX(할일표[표시],SMALL(IF((할일표[날짜]=B$47)*(할일표[업무]&lt;&gt;""),ROW(할일표[표시])-ROW(INDEX(할일표[표시],1))+1),7))),"")</f>
        <v/>
      </c>
      <c r="D54" s="80" t="str">
        <f t="array" ref="D54">IFERROR(IF(COUNTIFS(할일표[날짜],B$47,할일표[업무],"&lt;&gt;")&lt;7,"",INDEX(할일표[업무],SMALL(IF((할일표[날짜]=B$47)*(할일표[업무]&lt;&gt;""),ROW(할일표[날짜])-피벗!$T$11),7))),"")</f>
        <v/>
      </c>
      <c r="E54" s="76" t="str">
        <f t="array" ref="E54">IFERROR(IF(COUNTIFS(할일표[날짜],B$47,할일표[업무],"&lt;&gt;")&lt;7,"",INDEX(할일표[진행률],SMALL(IF((할일표[날짜]=B$47)*(할일표[업무]&lt;&gt;""),ROW(할일표[날짜])-피벗!$T$11),7))),"")</f>
        <v/>
      </c>
      <c r="F54" s="74" t="str">
        <f t="array" ref="F54">IFERROR(IF(COUNTIFS(할일표[날짜],F$47,할일표[업무],"&lt;&gt;")&lt;7,"",INDEX(구분표[아이콘],MATCH(INDEX(할일표[구분],SMALL(IF((할일표[날짜]=F$47)*(할일표[업무]&lt;&gt;""),ROW(할일표[구분])-ROW(INDEX(할일표[구분],1))+1),7)),구분표[구분],0))),"")</f>
        <v/>
      </c>
      <c r="G54" s="75" t="str">
        <f t="array" ref="G54">IFERROR(IF(COUNTIFS(할일표[날짜],F$47,할일표[업무],"&lt;&gt;")&lt;7,"",INDEX(할일표[표시],SMALL(IF((할일표[날짜]=F$47)*(할일표[업무]&lt;&gt;""),ROW(할일표[표시])-ROW(INDEX(할일표[표시],1))+1),7))),"")</f>
        <v/>
      </c>
      <c r="H54" s="80" t="str">
        <f t="array" ref="H54">IFERROR(IF(COUNTIFS(할일표[날짜],F$47,할일표[업무],"&lt;&gt;")&lt;7,"",INDEX(할일표[업무],SMALL(IF((할일표[날짜]=F$47)*(할일표[업무]&lt;&gt;""),ROW(할일표[날짜])-피벗!$T$11),7))),"")</f>
        <v/>
      </c>
      <c r="I54" s="76" t="str">
        <f t="array" ref="I54">IFERROR(IF(COUNTIFS(할일표[날짜],F$47,할일표[업무],"&lt;&gt;")&lt;7,"",INDEX(할일표[진행률],SMALL(IF((할일표[날짜]=F$47)*(할일표[업무]&lt;&gt;""),ROW(할일표[날짜])-피벗!$T$11),7))),"")</f>
        <v/>
      </c>
      <c r="J54" s="74" t="str">
        <f t="array" ref="J54">IFERROR(IF(COUNTIFS(할일표[날짜],J$47,할일표[업무],"&lt;&gt;")&lt;7,"",INDEX(구분표[아이콘],MATCH(INDEX(할일표[구분],SMALL(IF((할일표[날짜]=J$47)*(할일표[업무]&lt;&gt;""),ROW(할일표[구분])-ROW(INDEX(할일표[구분],1))+1),7)),구분표[구분],0))),"")</f>
        <v/>
      </c>
      <c r="K54" s="75" t="str">
        <f t="array" ref="K54">IFERROR(IF(COUNTIFS(할일표[날짜],J$47,할일표[업무],"&lt;&gt;")&lt;7,"",INDEX(할일표[표시],SMALL(IF((할일표[날짜]=J$47)*(할일표[업무]&lt;&gt;""),ROW(할일표[표시])-ROW(INDEX(할일표[표시],1))+1),7))),"")</f>
        <v/>
      </c>
      <c r="L54" s="80" t="str">
        <f t="array" ref="L54">IFERROR(IF(COUNTIFS(할일표[날짜],J$47,할일표[업무],"&lt;&gt;")&lt;7,"",INDEX(할일표[업무],SMALL(IF((할일표[날짜]=J$47)*(할일표[업무]&lt;&gt;""),ROW(할일표[날짜])-피벗!$T$11),7))),"")</f>
        <v/>
      </c>
      <c r="M54" s="76" t="str">
        <f t="array" ref="M54">IFERROR(IF(COUNTIFS(할일표[날짜],J$47,할일표[업무],"&lt;&gt;")&lt;7,"",INDEX(할일표[진행률],SMALL(IF((할일표[날짜]=J$47)*(할일표[업무]&lt;&gt;""),ROW(할일표[날짜])-피벗!$T$11),7))),"")</f>
        <v/>
      </c>
      <c r="N54" s="74" t="str">
        <f t="array" ref="N54">IFERROR(IF(COUNTIFS(할일표[날짜],N$47,할일표[업무],"&lt;&gt;")&lt;7,"",INDEX(구분표[아이콘],MATCH(INDEX(할일표[구분],SMALL(IF((할일표[날짜]=N$47)*(할일표[업무]&lt;&gt;""),ROW(할일표[구분])-ROW(INDEX(할일표[구분],1))+1),7)),구분표[구분],0))),"")</f>
        <v/>
      </c>
      <c r="O54" s="75" t="str">
        <f t="array" ref="O54">IFERROR(IF(COUNTIFS(할일표[날짜],N$47,할일표[업무],"&lt;&gt;")&lt;7,"",INDEX(할일표[표시],SMALL(IF((할일표[날짜]=N$47)*(할일표[업무]&lt;&gt;""),ROW(할일표[표시])-ROW(INDEX(할일표[표시],1))+1),7))),"")</f>
        <v/>
      </c>
      <c r="P54" s="80" t="str">
        <f t="array" ref="P54">IFERROR(IF(COUNTIFS(할일표[날짜],N$47,할일표[업무],"&lt;&gt;")&lt;7,"",INDEX(할일표[업무],SMALL(IF((할일표[날짜]=N$47)*(할일표[업무]&lt;&gt;""),ROW(할일표[날짜])-피벗!$T$11),7))),"")</f>
        <v/>
      </c>
      <c r="Q54" s="76" t="str">
        <f t="array" ref="Q54">IFERROR(IF(COUNTIFS(할일표[날짜],N$47,할일표[업무],"&lt;&gt;")&lt;7,"",INDEX(할일표[진행률],SMALL(IF((할일표[날짜]=N$47)*(할일표[업무]&lt;&gt;""),ROW(할일표[날짜])-피벗!$T$11),7))),"")</f>
        <v/>
      </c>
      <c r="R54" s="74" t="str">
        <f t="array" ref="R54">IFERROR(IF(COUNTIFS(할일표[날짜],R$47,할일표[업무],"&lt;&gt;")&lt;7,"",INDEX(구분표[아이콘],MATCH(INDEX(할일표[구분],SMALL(IF((할일표[날짜]=R$47)*(할일표[업무]&lt;&gt;""),ROW(할일표[구분])-ROW(INDEX(할일표[구분],1))+1),7)),구분표[구분],0))),"")</f>
        <v/>
      </c>
      <c r="S54" s="75" t="str">
        <f t="array" ref="S54">IFERROR(IF(COUNTIFS(할일표[날짜],R$47,할일표[업무],"&lt;&gt;")&lt;7,"",INDEX(할일표[표시],SMALL(IF((할일표[날짜]=R$47)*(할일표[업무]&lt;&gt;""),ROW(할일표[표시])-ROW(INDEX(할일표[표시],1))+1),7))),"")</f>
        <v/>
      </c>
      <c r="T54" s="80" t="str">
        <f t="array" ref="T54">IFERROR(IF(COUNTIFS(할일표[날짜],R$47,할일표[업무],"&lt;&gt;")&lt;7,"",INDEX(할일표[업무],SMALL(IF((할일표[날짜]=R$47)*(할일표[업무]&lt;&gt;""),ROW(할일표[날짜])-피벗!$T$11),7))),"")</f>
        <v/>
      </c>
      <c r="U54" s="76" t="str">
        <f t="array" ref="U54">IFERROR(IF(COUNTIFS(할일표[날짜],R$47,할일표[업무],"&lt;&gt;")&lt;7,"",INDEX(할일표[진행률],SMALL(IF((할일표[날짜]=R$47)*(할일표[업무]&lt;&gt;""),ROW(할일표[날짜])-피벗!$T$11),7))),"")</f>
        <v/>
      </c>
      <c r="V54" s="74" t="str">
        <f t="array" ref="V54">IFERROR(IF(COUNTIFS(할일표[날짜],V$47,할일표[업무],"&lt;&gt;")&lt;7,"",INDEX(구분표[아이콘],MATCH(INDEX(할일표[구분],SMALL(IF((할일표[날짜]=V$47)*(할일표[업무]&lt;&gt;""),ROW(할일표[구분])-ROW(INDEX(할일표[구분],1))+1),7)),구분표[구분],0))),"")</f>
        <v/>
      </c>
      <c r="W54" s="75" t="str">
        <f t="array" ref="W54">IFERROR(IF(COUNTIFS(할일표[날짜],V$47,할일표[업무],"&lt;&gt;")&lt;7,"",INDEX(할일표[표시],SMALL(IF((할일표[날짜]=V$47)*(할일표[업무]&lt;&gt;""),ROW(할일표[표시])-ROW(INDEX(할일표[표시],1))+1),7))),"")</f>
        <v/>
      </c>
      <c r="X54" s="80" t="str">
        <f t="array" ref="X54">IFERROR(IF(COUNTIFS(할일표[날짜],V$47,할일표[업무],"&lt;&gt;")&lt;7,"",INDEX(할일표[업무],SMALL(IF((할일표[날짜]=V$47)*(할일표[업무]&lt;&gt;""),ROW(할일표[날짜])-피벗!$T$11),7))),"")</f>
        <v/>
      </c>
      <c r="Y54" s="76" t="str">
        <f t="array" ref="Y54">IFERROR(IF(COUNTIFS(할일표[날짜],V$47,할일표[업무],"&lt;&gt;")&lt;7,"",INDEX(할일표[진행률],SMALL(IF((할일표[날짜]=V$47)*(할일표[업무]&lt;&gt;""),ROW(할일표[날짜])-피벗!$T$11),7))),"")</f>
        <v/>
      </c>
      <c r="Z54" s="74" t="str">
        <f t="array" ref="Z54">IFERROR(IF(COUNTIFS(할일표[날짜],Z$47,할일표[업무],"&lt;&gt;")&lt;7,"",INDEX(구분표[아이콘],MATCH(INDEX(할일표[구분],SMALL(IF((할일표[날짜]=Z$47)*(할일표[업무]&lt;&gt;""),ROW(할일표[구분])-ROW(INDEX(할일표[구분],1))+1),7)),구분표[구분],0))),"")</f>
        <v/>
      </c>
      <c r="AA54" s="75" t="str">
        <f t="array" ref="AA54">IFERROR(IF(COUNTIFS(할일표[날짜],Z$47,할일표[업무],"&lt;&gt;")&lt;7,"",INDEX(할일표[표시],SMALL(IF((할일표[날짜]=Z$47)*(할일표[업무]&lt;&gt;""),ROW(할일표[표시])-ROW(INDEX(할일표[표시],1))+1),7))),"")</f>
        <v/>
      </c>
      <c r="AB54" s="80" t="str">
        <f t="array" ref="AB54">IFERROR(IF(COUNTIFS(할일표[날짜],Z$47,할일표[업무],"&lt;&gt;")&lt;7,"",INDEX(할일표[업무],SMALL(IF((할일표[날짜]=Z$47)*(할일표[업무]&lt;&gt;""),ROW(할일표[날짜])-피벗!$T$11),7))),"")</f>
        <v/>
      </c>
      <c r="AC54" s="76" t="str">
        <f t="array" ref="AC54">IFERROR(IF(COUNTIFS(할일표[날짜],Z$47,할일표[업무],"&lt;&gt;")&lt;7,"",INDEX(할일표[진행률],SMALL(IF((할일표[날짜]=Z$47)*(할일표[업무]&lt;&gt;""),ROW(할일표[날짜])-피벗!$T$11),7))),"")</f>
        <v/>
      </c>
    </row>
    <row r="55" spans="2:43" s="48" customFormat="1" ht="21" customHeight="1" x14ac:dyDescent="0.45">
      <c r="B55" s="74" t="str">
        <f t="array" ref="B55">IFERROR(IF(COUNTIFS(할일표[날짜],B$47,할일표[업무],"&lt;&gt;")&lt;8,"",INDEX(구분표[아이콘],MATCH(INDEX(할일표[구분],SMALL(IF((할일표[날짜]=B$47)*(할일표[업무]&lt;&gt;""),ROW(할일표[구분])-ROW(INDEX(할일표[구분],1))+1),8)),구분표[구분],0))),"")</f>
        <v/>
      </c>
      <c r="C55" s="75" t="str">
        <f t="array" ref="C55">IFERROR(IF(COUNTIFS(할일표[날짜],B$47,할일표[업무],"&lt;&gt;")&lt;8,"",INDEX(할일표[표시],SMALL(IF((할일표[날짜]=B$47)*(할일표[업무]&lt;&gt;""),ROW(할일표[표시])-ROW(INDEX(할일표[표시],1))+1),8))),"")</f>
        <v/>
      </c>
      <c r="D55" s="80" t="str">
        <f t="array" ref="D55">IFERROR(IF(COUNTIFS(할일표[날짜],B$47,할일표[업무],"&lt;&gt;")&lt;8,"",INDEX(할일표[업무],SMALL(IF((할일표[날짜]=B$47)*(할일표[업무]&lt;&gt;""),ROW(할일표[날짜])-피벗!$T$11),8))),"")</f>
        <v/>
      </c>
      <c r="E55" s="76" t="str">
        <f t="array" ref="E55">IFERROR(IF(COUNTIFS(할일표[날짜],B$47,할일표[업무],"&lt;&gt;")&lt;8,"",INDEX(할일표[진행률],SMALL(IF((할일표[날짜]=B$47)*(할일표[업무]&lt;&gt;""),ROW(할일표[날짜])-피벗!$T$11),8))),"")</f>
        <v/>
      </c>
      <c r="F55" s="74" t="str">
        <f t="array" ref="F55">IFERROR(IF(COUNTIFS(할일표[날짜],F$47,할일표[업무],"&lt;&gt;")&lt;8,"",INDEX(구분표[아이콘],MATCH(INDEX(할일표[구분],SMALL(IF((할일표[날짜]=F$47)*(할일표[업무]&lt;&gt;""),ROW(할일표[구분])-ROW(INDEX(할일표[구분],1))+1),8)),구분표[구분],0))),"")</f>
        <v/>
      </c>
      <c r="G55" s="75" t="str">
        <f t="array" ref="G55">IFERROR(IF(COUNTIFS(할일표[날짜],F$47,할일표[업무],"&lt;&gt;")&lt;8,"",INDEX(할일표[표시],SMALL(IF((할일표[날짜]=F$47)*(할일표[업무]&lt;&gt;""),ROW(할일표[표시])-ROW(INDEX(할일표[표시],1))+1),8))),"")</f>
        <v/>
      </c>
      <c r="H55" s="80" t="str">
        <f t="array" ref="H55">IFERROR(IF(COUNTIFS(할일표[날짜],F$47,할일표[업무],"&lt;&gt;")&lt;8,"",INDEX(할일표[업무],SMALL(IF((할일표[날짜]=F$47)*(할일표[업무]&lt;&gt;""),ROW(할일표[날짜])-피벗!$T$11),8))),"")</f>
        <v/>
      </c>
      <c r="I55" s="76" t="str">
        <f t="array" ref="I55">IFERROR(IF(COUNTIFS(할일표[날짜],F$47,할일표[업무],"&lt;&gt;")&lt;8,"",INDEX(할일표[진행률],SMALL(IF((할일표[날짜]=F$47)*(할일표[업무]&lt;&gt;""),ROW(할일표[날짜])-피벗!$T$11),8))),"")</f>
        <v/>
      </c>
      <c r="J55" s="74" t="str">
        <f t="array" ref="J55">IFERROR(IF(COUNTIFS(할일표[날짜],J$47,할일표[업무],"&lt;&gt;")&lt;8,"",INDEX(구분표[아이콘],MATCH(INDEX(할일표[구분],SMALL(IF((할일표[날짜]=J$47)*(할일표[업무]&lt;&gt;""),ROW(할일표[구분])-ROW(INDEX(할일표[구분],1))+1),8)),구분표[구분],0))),"")</f>
        <v/>
      </c>
      <c r="K55" s="75" t="str">
        <f t="array" ref="K55">IFERROR(IF(COUNTIFS(할일표[날짜],J$47,할일표[업무],"&lt;&gt;")&lt;8,"",INDEX(할일표[표시],SMALL(IF((할일표[날짜]=J$47)*(할일표[업무]&lt;&gt;""),ROW(할일표[표시])-ROW(INDEX(할일표[표시],1))+1),8))),"")</f>
        <v/>
      </c>
      <c r="L55" s="80" t="str">
        <f t="array" ref="L55">IFERROR(IF(COUNTIFS(할일표[날짜],J$47,할일표[업무],"&lt;&gt;")&lt;8,"",INDEX(할일표[업무],SMALL(IF((할일표[날짜]=J$47)*(할일표[업무]&lt;&gt;""),ROW(할일표[날짜])-피벗!$T$11),8))),"")</f>
        <v/>
      </c>
      <c r="M55" s="76" t="str">
        <f t="array" ref="M55">IFERROR(IF(COUNTIFS(할일표[날짜],J$47,할일표[업무],"&lt;&gt;")&lt;8,"",INDEX(할일표[진행률],SMALL(IF((할일표[날짜]=J$47)*(할일표[업무]&lt;&gt;""),ROW(할일표[날짜])-피벗!$T$11),8))),"")</f>
        <v/>
      </c>
      <c r="N55" s="74" t="str">
        <f t="array" ref="N55">IFERROR(IF(COUNTIFS(할일표[날짜],N$47,할일표[업무],"&lt;&gt;")&lt;8,"",INDEX(구분표[아이콘],MATCH(INDEX(할일표[구분],SMALL(IF((할일표[날짜]=N$47)*(할일표[업무]&lt;&gt;""),ROW(할일표[구분])-ROW(INDEX(할일표[구분],1))+1),8)),구분표[구분],0))),"")</f>
        <v/>
      </c>
      <c r="O55" s="75" t="str">
        <f t="array" ref="O55">IFERROR(IF(COUNTIFS(할일표[날짜],N$47,할일표[업무],"&lt;&gt;")&lt;8,"",INDEX(할일표[표시],SMALL(IF((할일표[날짜]=N$47)*(할일표[업무]&lt;&gt;""),ROW(할일표[표시])-ROW(INDEX(할일표[표시],1))+1),8))),"")</f>
        <v/>
      </c>
      <c r="P55" s="80" t="str">
        <f t="array" ref="P55">IFERROR(IF(COUNTIFS(할일표[날짜],N$47,할일표[업무],"&lt;&gt;")&lt;8,"",INDEX(할일표[업무],SMALL(IF((할일표[날짜]=N$47)*(할일표[업무]&lt;&gt;""),ROW(할일표[날짜])-피벗!$T$11),8))),"")</f>
        <v/>
      </c>
      <c r="Q55" s="76" t="str">
        <f t="array" ref="Q55">IFERROR(IF(COUNTIFS(할일표[날짜],N$47,할일표[업무],"&lt;&gt;")&lt;8,"",INDEX(할일표[진행률],SMALL(IF((할일표[날짜]=N$47)*(할일표[업무]&lt;&gt;""),ROW(할일표[날짜])-피벗!$T$11),8))),"")</f>
        <v/>
      </c>
      <c r="R55" s="74" t="str">
        <f t="array" ref="R55">IFERROR(IF(COUNTIFS(할일표[날짜],R$47,할일표[업무],"&lt;&gt;")&lt;8,"",INDEX(구분표[아이콘],MATCH(INDEX(할일표[구분],SMALL(IF((할일표[날짜]=R$47)*(할일표[업무]&lt;&gt;""),ROW(할일표[구분])-ROW(INDEX(할일표[구분],1))+1),8)),구분표[구분],0))),"")</f>
        <v/>
      </c>
      <c r="S55" s="75" t="str">
        <f t="array" ref="S55">IFERROR(IF(COUNTIFS(할일표[날짜],R$47,할일표[업무],"&lt;&gt;")&lt;8,"",INDEX(할일표[표시],SMALL(IF((할일표[날짜]=R$47)*(할일표[업무]&lt;&gt;""),ROW(할일표[표시])-ROW(INDEX(할일표[표시],1))+1),8))),"")</f>
        <v/>
      </c>
      <c r="T55" s="80" t="str">
        <f t="array" ref="T55">IFERROR(IF(COUNTIFS(할일표[날짜],R$47,할일표[업무],"&lt;&gt;")&lt;8,"",INDEX(할일표[업무],SMALL(IF((할일표[날짜]=R$47)*(할일표[업무]&lt;&gt;""),ROW(할일표[날짜])-피벗!$T$11),8))),"")</f>
        <v/>
      </c>
      <c r="U55" s="76" t="str">
        <f t="array" ref="U55">IFERROR(IF(COUNTIFS(할일표[날짜],R$47,할일표[업무],"&lt;&gt;")&lt;8,"",INDEX(할일표[진행률],SMALL(IF((할일표[날짜]=R$47)*(할일표[업무]&lt;&gt;""),ROW(할일표[날짜])-피벗!$T$11),8))),"")</f>
        <v/>
      </c>
      <c r="V55" s="74" t="str">
        <f t="array" ref="V55">IFERROR(IF(COUNTIFS(할일표[날짜],V$47,할일표[업무],"&lt;&gt;")&lt;8,"",INDEX(구분표[아이콘],MATCH(INDEX(할일표[구분],SMALL(IF((할일표[날짜]=V$47)*(할일표[업무]&lt;&gt;""),ROW(할일표[구분])-ROW(INDEX(할일표[구분],1))+1),8)),구분표[구분],0))),"")</f>
        <v/>
      </c>
      <c r="W55" s="75" t="str">
        <f t="array" ref="W55">IFERROR(IF(COUNTIFS(할일표[날짜],V$47,할일표[업무],"&lt;&gt;")&lt;8,"",INDEX(할일표[표시],SMALL(IF((할일표[날짜]=V$47)*(할일표[업무]&lt;&gt;""),ROW(할일표[표시])-ROW(INDEX(할일표[표시],1))+1),8))),"")</f>
        <v/>
      </c>
      <c r="X55" s="80" t="str">
        <f t="array" ref="X55">IFERROR(IF(COUNTIFS(할일표[날짜],V$47,할일표[업무],"&lt;&gt;")&lt;8,"",INDEX(할일표[업무],SMALL(IF((할일표[날짜]=V$47)*(할일표[업무]&lt;&gt;""),ROW(할일표[날짜])-피벗!$T$11),8))),"")</f>
        <v/>
      </c>
      <c r="Y55" s="76" t="str">
        <f t="array" ref="Y55">IFERROR(IF(COUNTIFS(할일표[날짜],V$47,할일표[업무],"&lt;&gt;")&lt;8,"",INDEX(할일표[진행률],SMALL(IF((할일표[날짜]=V$47)*(할일표[업무]&lt;&gt;""),ROW(할일표[날짜])-피벗!$T$11),8))),"")</f>
        <v/>
      </c>
      <c r="Z55" s="74" t="str">
        <f t="array" ref="Z55">IFERROR(IF(COUNTIFS(할일표[날짜],Z$47,할일표[업무],"&lt;&gt;")&lt;8,"",INDEX(구분표[아이콘],MATCH(INDEX(할일표[구분],SMALL(IF((할일표[날짜]=Z$47)*(할일표[업무]&lt;&gt;""),ROW(할일표[구분])-ROW(INDEX(할일표[구분],1))+1),8)),구분표[구분],0))),"")</f>
        <v/>
      </c>
      <c r="AA55" s="75" t="str">
        <f t="array" ref="AA55">IFERROR(IF(COUNTIFS(할일표[날짜],Z$47,할일표[업무],"&lt;&gt;")&lt;8,"",INDEX(할일표[표시],SMALL(IF((할일표[날짜]=Z$47)*(할일표[업무]&lt;&gt;""),ROW(할일표[표시])-ROW(INDEX(할일표[표시],1))+1),8))),"")</f>
        <v/>
      </c>
      <c r="AB55" s="80" t="str">
        <f t="array" ref="AB55">IFERROR(IF(COUNTIFS(할일표[날짜],Z$47,할일표[업무],"&lt;&gt;")&lt;8,"",INDEX(할일표[업무],SMALL(IF((할일표[날짜]=Z$47)*(할일표[업무]&lt;&gt;""),ROW(할일표[날짜])-피벗!$T$11),8))),"")</f>
        <v/>
      </c>
      <c r="AC55" s="76" t="str">
        <f t="array" ref="AC55">IFERROR(IF(COUNTIFS(할일표[날짜],Z$47,할일표[업무],"&lt;&gt;")&lt;8,"",INDEX(할일표[진행률],SMALL(IF((할일표[날짜]=Z$47)*(할일표[업무]&lt;&gt;""),ROW(할일표[날짜])-피벗!$T$11),8))),"")</f>
        <v/>
      </c>
      <c r="AI55" s="45"/>
      <c r="AJ55" s="45"/>
      <c r="AK55" s="45"/>
      <c r="AL55" s="45"/>
      <c r="AM55" s="45"/>
      <c r="AN55" s="45"/>
      <c r="AO55" s="45"/>
      <c r="AP55" s="45"/>
      <c r="AQ55" s="45"/>
    </row>
    <row r="56" spans="2:43" ht="7.5" customHeight="1" x14ac:dyDescent="0.45">
      <c r="B56" s="87"/>
      <c r="C56" s="88"/>
      <c r="D56" s="88"/>
      <c r="E56" s="89"/>
      <c r="F56" s="87"/>
      <c r="G56" s="88"/>
      <c r="H56" s="88"/>
      <c r="I56" s="89"/>
      <c r="J56" s="87"/>
      <c r="K56" s="88"/>
      <c r="L56" s="88"/>
      <c r="M56" s="89"/>
      <c r="N56" s="87"/>
      <c r="O56" s="88"/>
      <c r="P56" s="88"/>
      <c r="Q56" s="89"/>
      <c r="R56" s="87"/>
      <c r="S56" s="88"/>
      <c r="T56" s="88"/>
      <c r="U56" s="89"/>
      <c r="V56" s="87"/>
      <c r="W56" s="88"/>
      <c r="X56" s="88"/>
      <c r="Y56" s="89"/>
      <c r="Z56" s="87"/>
      <c r="AA56" s="88"/>
      <c r="AB56" s="88"/>
      <c r="AC56" s="89"/>
    </row>
  </sheetData>
  <sheetProtection sheet="1" formatCells="0" formatColumns="0" formatRows="0" insertColumns="0" insertRows="0" insertHyperlinks="0" deleteColumns="0" deleteRows="0" sort="0" autoFilter="0" pivotTables="0"/>
  <mergeCells count="35">
    <mergeCell ref="V46:Y46"/>
    <mergeCell ref="Z46:AC46"/>
    <mergeCell ref="B56:E56"/>
    <mergeCell ref="F56:I56"/>
    <mergeCell ref="J56:M56"/>
    <mergeCell ref="N56:Q56"/>
    <mergeCell ref="R56:U56"/>
    <mergeCell ref="V56:Y56"/>
    <mergeCell ref="Z56:AC56"/>
    <mergeCell ref="B46:E46"/>
    <mergeCell ref="F46:I46"/>
    <mergeCell ref="J46:M46"/>
    <mergeCell ref="N46:Q46"/>
    <mergeCell ref="R46:U46"/>
    <mergeCell ref="V26:Y26"/>
    <mergeCell ref="Z26:AC26"/>
    <mergeCell ref="B36:E36"/>
    <mergeCell ref="F36:I36"/>
    <mergeCell ref="J36:M36"/>
    <mergeCell ref="N36:Q36"/>
    <mergeCell ref="R36:U36"/>
    <mergeCell ref="V36:Y36"/>
    <mergeCell ref="Z36:AC36"/>
    <mergeCell ref="B26:E26"/>
    <mergeCell ref="F26:I26"/>
    <mergeCell ref="J26:M26"/>
    <mergeCell ref="N26:Q26"/>
    <mergeCell ref="R26:U26"/>
    <mergeCell ref="Z16:AC16"/>
    <mergeCell ref="J16:M16"/>
    <mergeCell ref="B16:E16"/>
    <mergeCell ref="F16:I16"/>
    <mergeCell ref="N16:Q16"/>
    <mergeCell ref="R16:U16"/>
    <mergeCell ref="V16:Y16"/>
  </mergeCells>
  <phoneticPr fontId="1" type="noConversion"/>
  <conditionalFormatting sqref="B6 F6 J6 N6 R6 V6 Z6">
    <cfRule type="expression" dxfId="11" priority="88">
      <formula>B$6="SUN"</formula>
    </cfRule>
    <cfRule type="expression" dxfId="10" priority="89">
      <formula>B$6="SAT"</formula>
    </cfRule>
  </conditionalFormatting>
  <conditionalFormatting sqref="B7 F7 J7 N7 R7 V7 Z7 B17 F17 J17 N17 R17 V17 Z17 B27 F27 J27 N27 R27 V27 Z27 B37 F37 J37 N37 R37 V37 Z37 B47 F47 J47 N47 R47 V47 Z47">
    <cfRule type="expression" dxfId="9" priority="58">
      <formula>B7=TODAY()</formula>
    </cfRule>
  </conditionalFormatting>
  <conditionalFormatting sqref="B16:AC16 B26:AC26 B36:AC36 B46:AC46">
    <cfRule type="expression" dxfId="7" priority="7151">
      <formula>COUNTIFS(INDIRECT("할일표[날짜]"), B7, INDIRECT("할일표[업무]"), "&lt;&gt;") &gt; 8</formula>
    </cfRule>
  </conditionalFormatting>
  <conditionalFormatting sqref="B56:AC56">
    <cfRule type="expression" dxfId="6" priority="3439" stopIfTrue="1">
      <formula>COUNTIFS(INDIRECT("할일표[날짜]"), B47, INDIRECT("할일표[필터]"), 1, INDIRECT("할일표[업무]"), "&lt;&gt;") &gt; 16</formula>
    </cfRule>
    <cfRule type="expression" dxfId="5" priority="3440">
      <formula>COUNTIFS(INDIRECT("할일표[날짜]"), B47, INDIRECT("할일표[필터]"), 1, INDIRECT("할일표[업무]"), "&lt;&gt;") &gt; 8</formula>
    </cfRule>
  </conditionalFormatting>
  <conditionalFormatting sqref="C48:C55 C38:C45 C28:C35 C18:C25 C8:C15 G8:G15 K8:K15 O8:O15 S8:S15 W8:W15 AA8:AA15 G18:G25 K18:K25 O18:O25 S18:S25 W18:W25 AA18:AA25 G28:G35 K28:K35 O28:O35 S28:S35 W28:W35 AA28:AA35 G38:G45 K38:K45 O38:O45 S38:S45 W38:W45 AA38:AA45 G48:G55 K48:K55 O48:O55 S48:S55 W48:W55 AA48:AA55">
    <cfRule type="iconSet" priority="7152">
      <iconSet showValue="0" reverse="1">
        <cfvo type="percent" val="0"/>
        <cfvo type="num" val="2"/>
        <cfvo type="num" val="3"/>
      </iconSet>
    </cfRule>
  </conditionalFormatting>
  <conditionalFormatting sqref="D8:D15 H8:H15 L8:L15 P8:P15 T8:T15 X8:X15 AB8:AB15 D18:D25 H18:H25 L18:L25 P18:P25 T18:T25 X18:X25 AB18:AB25 D28:D35 H28:H35 L28:L35 P28:P35 T28:T35 X28:X35 AB28:AB35 D38:D45 H38:H45 L38:L45 P38:P45 T38:T45 X38:X45 AB38:AB45 D48:D55 H48:H55 L48:L55 P48:P55 T48:T55 X48:X55 AB48:AB55">
    <cfRule type="expression" dxfId="4" priority="3438">
      <formula>E8=1</formula>
    </cfRule>
  </conditionalFormatting>
  <conditionalFormatting sqref="AM7 AL8:AN9 AK10:AO10 AJ11:AP12 AI13:AQ13">
    <cfRule type="iconSet" priority="1">
      <iconSet showValue="0">
        <cfvo type="percent" val="0"/>
        <cfvo type="percent" val="33"/>
        <cfvo type="percent" val="67"/>
      </iconSet>
    </cfRule>
  </conditionalFormatting>
  <dataValidations count="1">
    <dataValidation allowBlank="1" showInputMessage="1" showErrorMessage="1" prompt="시트 보호 암호 없음" sqref="A1" xr:uid="{C267686B-F63F-45C6-8105-DB904ADA0F92}"/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pinner 1">
              <controlPr defaultSize="0" autoPict="0">
                <anchor>
                  <from>
                    <xdr:col>31</xdr:col>
                    <xdr:colOff>990600</xdr:colOff>
                    <xdr:row>5</xdr:row>
                    <xdr:rowOff>152400</xdr:rowOff>
                  </from>
                  <to>
                    <xdr:col>32</xdr:col>
                    <xdr:colOff>450850</xdr:colOff>
                    <xdr:row>7</xdr:row>
                    <xdr:rowOff>209550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37" id="{00000000-000E-0000-0000-00005F010000}">
            <xm:f>MONTH(B7)&lt;&gt;MONTH(피벗!$V$3)</xm:f>
            <x14:dxf>
              <font>
                <color theme="0" tint="-0.34998626667073579"/>
              </font>
            </x14:dxf>
          </x14:cfRule>
          <xm:sqref>B7:AC7 B17:AC17 B27:AC27 B37:AC37 B47:AC47</xm:sqref>
        </x14:conditionalFormatting>
        <x14:conditionalFormatting xmlns:xm="http://schemas.microsoft.com/office/excel/2006/main">
          <x14:cfRule type="iconSet" priority="7194" id="{D737054D-4867-49EE-A6FA-3076EC36BF45}">
            <x14:iconSet iconSet="5Quarters" showValue="0" custom="1">
              <x14:cfvo type="percent">
                <xm:f>0</xm:f>
              </x14:cfvo>
              <x14:cfvo type="num">
                <xm:f>0.25</xm:f>
              </x14:cfvo>
              <x14:cfvo type="num">
                <xm:f>0.5</xm:f>
              </x14:cfvo>
              <x14:cfvo type="num">
                <xm:f>0.75</xm:f>
              </x14:cfvo>
              <x14:cfvo type="num">
                <xm:f>1</xm:f>
              </x14:cfvo>
              <x14:cfIcon iconSet="5Quarters" iconId="0"/>
              <x14:cfIcon iconSet="5Quarters" iconId="1"/>
              <x14:cfIcon iconSet="5Quarters" iconId="2"/>
              <x14:cfIcon iconSet="5Quarters" iconId="3"/>
              <x14:cfIcon iconSet="3Symbols2" iconId="2"/>
            </x14:iconSet>
          </x14:cfRule>
          <xm:sqref>E48:E55 E38:E45 E28:E35 E18:E25 E8:E15 I8:I15 M8:M15 Q8:Q15 U8:U15 Y8:Y15 AC8:AC15 I18:I25 M18:M25 Q18:Q25 U18:U25 Y18:Y25 AC18:AC25 I28:I35 M28:M35 Q28:Q35 U28:U35 Y28:Y35 AC28:AC35 I38:I45 M38:M45 Q38:Q45 U38:U45 Y38:Y45 AC38:AC45 I48:I55 M48:M55 Q48:Q55 U48:U55 Y48:Y55 AC48:AC55</xm:sqref>
        </x14:conditionalFormatting>
      </x14:conditionalFormattings>
    </ex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705A1-BC39-42F9-A14F-57108D99610F}">
  <sheetPr codeName="Sheet21">
    <tabColor theme="3" tint="0.89999084444715716"/>
  </sheetPr>
  <dimension ref="B2:W19"/>
  <sheetViews>
    <sheetView showGridLines="0" zoomScaleNormal="100" workbookViewId="0">
      <pane ySplit="9" topLeftCell="A10" activePane="bottomLeft" state="frozen"/>
      <selection pane="bottomLeft"/>
    </sheetView>
  </sheetViews>
  <sheetFormatPr defaultRowHeight="17" x14ac:dyDescent="0.45"/>
  <cols>
    <col min="1" max="1" width="3.25" customWidth="1"/>
    <col min="2" max="2" width="10" customWidth="1"/>
    <col min="3" max="3" width="20" customWidth="1"/>
    <col min="4" max="4" width="27.25" customWidth="1"/>
    <col min="5" max="5" width="8.58203125" customWidth="1"/>
    <col min="6" max="6" width="6.25" customWidth="1"/>
    <col min="7" max="7" width="51.33203125" customWidth="1"/>
    <col min="8" max="8" width="11.5" customWidth="1"/>
    <col min="9" max="9" width="35.9140625" customWidth="1"/>
    <col min="10" max="10" width="8.25" hidden="1" customWidth="1"/>
    <col min="11" max="11" width="2.75" customWidth="1"/>
    <col min="12" max="12" width="2.33203125" customWidth="1"/>
    <col min="13" max="13" width="23.5" customWidth="1"/>
    <col min="14" max="14" width="2.33203125" customWidth="1"/>
    <col min="15" max="15" width="3.83203125" customWidth="1"/>
    <col min="16" max="16" width="9.08203125" customWidth="1"/>
    <col min="17" max="23" width="2.75" customWidth="1"/>
  </cols>
  <sheetData>
    <row r="2" spans="2:23" ht="17" customHeight="1" x14ac:dyDescent="0.45">
      <c r="L2" s="13"/>
      <c r="M2" s="42" t="s">
        <v>65</v>
      </c>
      <c r="N2" s="13"/>
      <c r="P2" s="43" t="s">
        <v>66</v>
      </c>
      <c r="Q2" s="43" t="s">
        <v>0</v>
      </c>
      <c r="R2" s="43" t="s">
        <v>57</v>
      </c>
      <c r="S2" s="43" t="s">
        <v>58</v>
      </c>
      <c r="T2" s="43" t="s">
        <v>59</v>
      </c>
      <c r="U2" s="43" t="s">
        <v>60</v>
      </c>
      <c r="V2" s="43" t="s">
        <v>61</v>
      </c>
      <c r="W2" s="43" t="s">
        <v>62</v>
      </c>
    </row>
    <row r="3" spans="2:23" ht="17" customHeight="1" x14ac:dyDescent="0.45">
      <c r="L3" s="25" t="s">
        <v>50</v>
      </c>
      <c r="M3" s="90" t="s">
        <v>81</v>
      </c>
      <c r="N3" s="13"/>
      <c r="P3" s="28" t="s">
        <v>67</v>
      </c>
      <c r="Q3" s="26">
        <v>1</v>
      </c>
      <c r="R3" s="26"/>
      <c r="S3" s="26">
        <v>1</v>
      </c>
      <c r="T3" s="26"/>
      <c r="U3" s="26">
        <v>1</v>
      </c>
      <c r="V3" s="26"/>
      <c r="W3" s="26"/>
    </row>
    <row r="4" spans="2:23" ht="17" customHeight="1" x14ac:dyDescent="0.45">
      <c r="L4" s="13"/>
      <c r="M4" s="90"/>
      <c r="N4" s="13"/>
      <c r="P4" s="28" t="s">
        <v>68</v>
      </c>
      <c r="Q4" s="26">
        <v>1</v>
      </c>
      <c r="R4" s="26">
        <v>1</v>
      </c>
      <c r="S4" s="26">
        <v>1</v>
      </c>
      <c r="T4" s="26">
        <v>1</v>
      </c>
      <c r="U4" s="26">
        <v>1</v>
      </c>
      <c r="V4" s="26">
        <v>1</v>
      </c>
      <c r="W4" s="26">
        <v>1</v>
      </c>
    </row>
    <row r="5" spans="2:23" ht="17" customHeight="1" x14ac:dyDescent="0.45">
      <c r="L5" s="13"/>
      <c r="M5" s="90"/>
      <c r="N5" s="13"/>
      <c r="P5" s="29" t="s">
        <v>69</v>
      </c>
      <c r="Q5" s="27">
        <v>1</v>
      </c>
      <c r="R5" s="27">
        <v>1</v>
      </c>
      <c r="S5" s="27">
        <v>1</v>
      </c>
      <c r="T5" s="27">
        <v>1</v>
      </c>
      <c r="U5" s="27">
        <v>1</v>
      </c>
      <c r="V5" s="27"/>
      <c r="W5" s="27"/>
    </row>
    <row r="6" spans="2:23" ht="17" customHeight="1" x14ac:dyDescent="0.45">
      <c r="L6" s="13"/>
      <c r="M6" s="90"/>
      <c r="N6" s="13"/>
      <c r="P6" s="28"/>
      <c r="Q6" s="26"/>
      <c r="R6" s="26"/>
      <c r="S6" s="26"/>
      <c r="T6" s="26"/>
      <c r="U6" s="26"/>
      <c r="V6" s="26"/>
      <c r="W6" s="26"/>
    </row>
    <row r="7" spans="2:23" ht="17" customHeight="1" x14ac:dyDescent="0.45">
      <c r="L7" s="13"/>
      <c r="M7" s="90"/>
      <c r="N7" s="13"/>
      <c r="P7" s="28"/>
      <c r="Q7" s="26"/>
      <c r="R7" s="26"/>
      <c r="S7" s="26"/>
      <c r="T7" s="26"/>
      <c r="U7" s="26"/>
      <c r="V7" s="26"/>
      <c r="W7" s="26"/>
    </row>
    <row r="8" spans="2:23" ht="17" customHeight="1" x14ac:dyDescent="0.45">
      <c r="L8" s="13"/>
      <c r="M8" s="90"/>
      <c r="N8" s="13"/>
      <c r="P8" s="28"/>
      <c r="Q8" s="26"/>
      <c r="R8" s="26"/>
      <c r="S8" s="26"/>
      <c r="T8" s="26"/>
      <c r="U8" s="26"/>
      <c r="V8" s="26"/>
      <c r="W8" s="26"/>
    </row>
    <row r="9" spans="2:23" ht="17" customHeight="1" x14ac:dyDescent="0.45">
      <c r="B9" s="58" t="s">
        <v>21</v>
      </c>
      <c r="C9" s="59" t="s">
        <v>16</v>
      </c>
      <c r="D9" s="60" t="s">
        <v>40</v>
      </c>
      <c r="E9" s="79" t="s">
        <v>17</v>
      </c>
      <c r="F9" s="60" t="s">
        <v>32</v>
      </c>
      <c r="G9" s="60" t="s">
        <v>18</v>
      </c>
      <c r="H9" s="60" t="s">
        <v>45</v>
      </c>
      <c r="I9" s="60" t="s">
        <v>34</v>
      </c>
      <c r="J9" s="61" t="s">
        <v>46</v>
      </c>
      <c r="L9" s="13"/>
      <c r="M9" s="13"/>
      <c r="N9" s="13"/>
      <c r="P9" s="28"/>
      <c r="Q9" s="26"/>
      <c r="R9" s="26"/>
      <c r="S9" s="26"/>
      <c r="T9" s="26"/>
      <c r="U9" s="26"/>
      <c r="V9" s="26"/>
      <c r="W9" s="26"/>
    </row>
    <row r="10" spans="2:23" ht="17" customHeight="1" x14ac:dyDescent="0.45">
      <c r="B10" s="62" t="s">
        <v>35</v>
      </c>
      <c r="C10" s="85">
        <v>46281</v>
      </c>
      <c r="D10" s="62" t="s">
        <v>92</v>
      </c>
      <c r="E10" s="62" t="s">
        <v>39</v>
      </c>
      <c r="F10" s="62">
        <f>IFERROR(MATCH($E10,{"낮음","중간","높음"},0),"")</f>
        <v>3</v>
      </c>
      <c r="G10" s="63" t="s">
        <v>111</v>
      </c>
      <c r="H10" s="64"/>
      <c r="I10" s="63" t="s">
        <v>121</v>
      </c>
      <c r="J10" s="78" t="str">
        <f t="shared" ref="J10:J12" si="0">IF(H10=1,"완료",IF(H10=0,"시작전","진행중"))</f>
        <v>시작전</v>
      </c>
    </row>
    <row r="11" spans="2:23" x14ac:dyDescent="0.45">
      <c r="B11" s="62" t="s">
        <v>93</v>
      </c>
      <c r="C11" s="85">
        <v>46281</v>
      </c>
      <c r="D11" s="62" t="s">
        <v>92</v>
      </c>
      <c r="E11" s="62" t="s">
        <v>41</v>
      </c>
      <c r="F11" s="62">
        <f>IFERROR(MATCH($E11,{"낮음","중간","높음"},0),"")</f>
        <v>2</v>
      </c>
      <c r="G11" s="63" t="s">
        <v>112</v>
      </c>
      <c r="H11" s="64">
        <v>0.9</v>
      </c>
      <c r="I11" s="63"/>
      <c r="J11" s="78" t="str">
        <f t="shared" si="0"/>
        <v>진행중</v>
      </c>
    </row>
    <row r="12" spans="2:23" x14ac:dyDescent="0.45">
      <c r="B12" s="62" t="s">
        <v>93</v>
      </c>
      <c r="C12" s="85">
        <v>46282</v>
      </c>
      <c r="D12" s="62" t="s">
        <v>92</v>
      </c>
      <c r="E12" s="62" t="s">
        <v>42</v>
      </c>
      <c r="F12" s="62">
        <f>IFERROR(MATCH($E12,{"낮음","중간","높음"},0),"")</f>
        <v>1</v>
      </c>
      <c r="G12" s="63" t="s">
        <v>113</v>
      </c>
      <c r="H12" s="64">
        <v>0.5</v>
      </c>
      <c r="I12" s="63"/>
      <c r="J12" s="78" t="str">
        <f t="shared" si="0"/>
        <v>진행중</v>
      </c>
    </row>
    <row r="13" spans="2:23" x14ac:dyDescent="0.45">
      <c r="B13" s="62" t="s">
        <v>93</v>
      </c>
      <c r="C13" s="85">
        <v>46283</v>
      </c>
      <c r="D13" s="62" t="s">
        <v>92</v>
      </c>
      <c r="E13" s="62" t="s">
        <v>39</v>
      </c>
      <c r="F13" s="62">
        <f>IFERROR(MATCH($E13,{"낮음","중간","높음"},0),"")</f>
        <v>3</v>
      </c>
      <c r="G13" s="63" t="s">
        <v>114</v>
      </c>
      <c r="H13" s="64">
        <v>1</v>
      </c>
      <c r="I13" s="63"/>
      <c r="J13" s="78" t="str">
        <f t="shared" ref="J13:J14" si="1">IF(H13=1,"완료",IF(H13=0,"시작전","진행중"))</f>
        <v>완료</v>
      </c>
    </row>
    <row r="14" spans="2:23" x14ac:dyDescent="0.45">
      <c r="B14" s="62" t="s">
        <v>93</v>
      </c>
      <c r="C14" s="85">
        <v>46284</v>
      </c>
      <c r="D14" s="62" t="s">
        <v>92</v>
      </c>
      <c r="E14" s="62" t="s">
        <v>41</v>
      </c>
      <c r="F14" s="62">
        <f>IFERROR(MATCH($E14,{"낮음","중간","높음"},0),"")</f>
        <v>2</v>
      </c>
      <c r="G14" s="63" t="s">
        <v>115</v>
      </c>
      <c r="H14" s="64">
        <v>1</v>
      </c>
      <c r="I14" s="63"/>
      <c r="J14" s="78" t="str">
        <f t="shared" si="1"/>
        <v>완료</v>
      </c>
    </row>
    <row r="15" spans="2:23" x14ac:dyDescent="0.45">
      <c r="B15" s="62" t="s">
        <v>93</v>
      </c>
      <c r="C15" s="85">
        <v>46285</v>
      </c>
      <c r="D15" s="62" t="s">
        <v>92</v>
      </c>
      <c r="E15" s="62" t="s">
        <v>42</v>
      </c>
      <c r="F15" s="62">
        <f>IFERROR(MATCH($E15,{"낮음","중간","높음"},0),"")</f>
        <v>1</v>
      </c>
      <c r="G15" s="63" t="s">
        <v>116</v>
      </c>
      <c r="H15" s="64"/>
      <c r="I15" s="63"/>
      <c r="J15" s="78" t="str">
        <f>IF(H15=1,"완료",IF(H15=0,"시작전","진행중"))</f>
        <v>시작전</v>
      </c>
    </row>
    <row r="16" spans="2:23" x14ac:dyDescent="0.45">
      <c r="B16" s="62" t="s">
        <v>93</v>
      </c>
      <c r="C16" s="85">
        <v>46286</v>
      </c>
      <c r="D16" s="62" t="s">
        <v>92</v>
      </c>
      <c r="E16" s="62" t="s">
        <v>39</v>
      </c>
      <c r="F16" s="62">
        <f>IFERROR(MATCH($E16,{"낮음","중간","높음"},0),"")</f>
        <v>3</v>
      </c>
      <c r="G16" s="63" t="s">
        <v>117</v>
      </c>
      <c r="H16" s="64">
        <v>0.25</v>
      </c>
      <c r="I16" s="63"/>
      <c r="J16" s="78" t="str">
        <f>IF(H16=1,"완료",IF(H16=0,"시작전","진행중"))</f>
        <v>진행중</v>
      </c>
    </row>
    <row r="17" spans="2:10" x14ac:dyDescent="0.45">
      <c r="B17" s="62" t="s">
        <v>93</v>
      </c>
      <c r="C17" s="85">
        <v>46287</v>
      </c>
      <c r="D17" s="62" t="s">
        <v>92</v>
      </c>
      <c r="E17" s="62" t="s">
        <v>41</v>
      </c>
      <c r="F17" s="62">
        <f>IFERROR(MATCH($E17,{"낮음","중간","높음"},0),"")</f>
        <v>2</v>
      </c>
      <c r="G17" s="63" t="s">
        <v>118</v>
      </c>
      <c r="H17" s="64"/>
      <c r="I17" s="63"/>
      <c r="J17" s="78" t="str">
        <f>IF(H17=1,"완료",IF(H17=0,"시작전","진행중"))</f>
        <v>시작전</v>
      </c>
    </row>
    <row r="18" spans="2:10" x14ac:dyDescent="0.45">
      <c r="B18" s="62" t="s">
        <v>93</v>
      </c>
      <c r="C18" s="85">
        <v>46288</v>
      </c>
      <c r="D18" s="62" t="s">
        <v>92</v>
      </c>
      <c r="E18" s="62" t="s">
        <v>42</v>
      </c>
      <c r="F18" s="62">
        <f>IFERROR(MATCH($E18,{"낮음","중간","높음"},0),"")</f>
        <v>1</v>
      </c>
      <c r="G18" s="63" t="s">
        <v>119</v>
      </c>
      <c r="H18" s="64"/>
      <c r="I18" s="63"/>
      <c r="J18" s="78" t="str">
        <f>IF(H18=1,"완료",IF(H18=0,"시작전","진행중"))</f>
        <v>시작전</v>
      </c>
    </row>
    <row r="19" spans="2:10" x14ac:dyDescent="0.45">
      <c r="B19" s="62" t="s">
        <v>35</v>
      </c>
      <c r="C19" s="85">
        <v>46289</v>
      </c>
      <c r="D19" s="62" t="s">
        <v>92</v>
      </c>
      <c r="E19" s="62" t="s">
        <v>42</v>
      </c>
      <c r="F19" s="62">
        <f>IFERROR(MATCH($E19,{"낮음","중간","높음"},0),"")</f>
        <v>1</v>
      </c>
      <c r="G19" s="63" t="s">
        <v>120</v>
      </c>
      <c r="H19" s="64">
        <v>1</v>
      </c>
      <c r="I19" s="63"/>
      <c r="J19" s="78" t="str">
        <f>IF(H19=1,"완료",IF(H19=0,"시작전","진행중"))</f>
        <v>완료</v>
      </c>
    </row>
  </sheetData>
  <mergeCells count="1">
    <mergeCell ref="M3:M8"/>
  </mergeCells>
  <phoneticPr fontId="1" type="noConversion"/>
  <conditionalFormatting sqref="B10:G19 I10:J19">
    <cfRule type="expression" dxfId="3" priority="2">
      <formula>$J10="완료"</formula>
    </cfRule>
  </conditionalFormatting>
  <conditionalFormatting sqref="C10:C19 G10:G19">
    <cfRule type="expression" dxfId="2" priority="6">
      <formula>$C10=TODAY()</formula>
    </cfRule>
  </conditionalFormatting>
  <conditionalFormatting sqref="F10:F19">
    <cfRule type="iconSet" priority="7389">
      <iconSet showValue="0" reverse="1">
        <cfvo type="percent" val="0"/>
        <cfvo type="formula" val="2"/>
        <cfvo type="formula" val="3"/>
      </iconSet>
    </cfRule>
  </conditionalFormatting>
  <conditionalFormatting sqref="H10:H19">
    <cfRule type="expression" dxfId="1" priority="3">
      <formula>$H10&lt;&gt;""</formula>
    </cfRule>
    <cfRule type="dataBar" priority="4">
      <dataBar>
        <cfvo type="num" val="0"/>
        <cfvo type="num" val="1"/>
        <color theme="3" tint="0.749992370372631"/>
      </dataBar>
      <extLst>
        <ext xmlns:x14="http://schemas.microsoft.com/office/spreadsheetml/2009/9/main" uri="{B025F937-C7B1-47D3-B67F-A62EFF666E3E}">
          <x14:id>{728AC18B-C8DF-4B39-9A02-07142F3C6047}</x14:id>
        </ext>
      </extLst>
    </cfRule>
    <cfRule type="cellIs" dxfId="0" priority="5" operator="equal">
      <formula>1</formula>
    </cfRule>
  </conditionalFormatting>
  <conditionalFormatting sqref="Q3:W9">
    <cfRule type="iconSet" priority="7149">
      <iconSet iconSet="3Symbols2" showValue="0">
        <cfvo type="percent" val="0"/>
        <cfvo type="num" val="0"/>
        <cfvo type="num" val="1"/>
      </iconSet>
    </cfRule>
  </conditionalFormatting>
  <dataValidations count="5">
    <dataValidation type="list" allowBlank="1" showInputMessage="1" showErrorMessage="1" error="숫자 1을 입력해 주세요" sqref="Q3:W9" xr:uid="{5F7DAA90-C4A3-4148-A700-C283ACF687DA}">
      <formula1>"1"</formula1>
    </dataValidation>
    <dataValidation allowBlank="1" showInputMessage="1" showErrorMessage="1" prompt="1. 표시열, J열(숨김) 수식 삭제 금지_x000a_2. 데이터 반영 단축키 Ctrl + Alt + F5" sqref="A1" xr:uid="{8C8A4DA3-D67E-4A3E-BE84-CD5ADD22019A}"/>
    <dataValidation type="list" allowBlank="1" showInputMessage="1" error="높음, 중간, 낮음을 입력해 주세요." sqref="E10:E19" xr:uid="{E9D9CF36-2C85-49E8-B2E4-36557270F139}">
      <formula1>"높음,중간,낮음"</formula1>
    </dataValidation>
    <dataValidation type="date" operator="notEqual" allowBlank="1" showInputMessage="1" showErrorMessage="1" error="날짜만 입력해 주세요._x000a_(예시: 2026/1/15 or 1/15)" sqref="C10:C19" xr:uid="{EADDFAA7-9125-48B0-96CF-30FB35427D82}">
      <formula1>2958465</formula1>
    </dataValidation>
    <dataValidation type="list" allowBlank="1" showInputMessage="1" showErrorMessage="1" error="세팅 시트에서 항목 추가 가능" sqref="B10:B19" xr:uid="{97DAE93A-0514-4E0A-8C6E-D89B8618EEB0}">
      <formula1>INDIRECT("구분표[구분]")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8AC18B-C8DF-4B39-9A02-07142F3C604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H10:H19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4F4E-3CEE-49FF-ACA9-8D7C5AF30EE9}">
  <sheetPr codeName="Sheet5">
    <tabColor rgb="FFFFE1F0"/>
  </sheetPr>
  <dimension ref="A4:AA21"/>
  <sheetViews>
    <sheetView showGridLines="0" zoomScale="85" zoomScaleNormal="85" workbookViewId="0">
      <selection activeCell="S12" sqref="S12"/>
    </sheetView>
  </sheetViews>
  <sheetFormatPr defaultRowHeight="17" x14ac:dyDescent="0.45"/>
  <cols>
    <col min="1" max="1" width="6.4140625" style="3" customWidth="1"/>
    <col min="2" max="9" width="8.6640625" style="3"/>
    <col min="10" max="10" width="6.25" customWidth="1"/>
    <col min="11" max="11" width="9.4140625" style="16" customWidth="1"/>
    <col min="12" max="12" width="0.6640625" style="16" customWidth="1"/>
    <col min="13" max="13" width="9.4140625" style="16" customWidth="1"/>
    <col min="14" max="14" width="0.6640625" style="16" customWidth="1"/>
    <col min="15" max="15" width="9.4140625" style="16" customWidth="1"/>
    <col min="16" max="16" width="0.6640625" style="16" customWidth="1"/>
    <col min="17" max="17" width="9.4140625" style="16" customWidth="1"/>
    <col min="18" max="18" width="0.6640625" style="16" customWidth="1"/>
    <col min="19" max="19" width="9.4140625" style="16" customWidth="1"/>
    <col min="20" max="20" width="0.6640625" style="16" customWidth="1"/>
    <col min="21" max="21" width="9.4140625" style="16" customWidth="1"/>
    <col min="22" max="22" width="0.6640625" style="16" customWidth="1"/>
    <col min="23" max="23" width="9.4140625" style="16" customWidth="1"/>
    <col min="24" max="24" width="0.6640625" style="16" customWidth="1"/>
    <col min="25" max="25" width="9.4140625" style="16" customWidth="1"/>
    <col min="26" max="26" width="0.6640625" style="16" customWidth="1"/>
    <col min="27" max="27" width="9.4140625" style="16" customWidth="1"/>
  </cols>
  <sheetData>
    <row r="4" spans="2:27" ht="53.5" customHeight="1" x14ac:dyDescent="0.45">
      <c r="B4" s="53" t="s">
        <v>64</v>
      </c>
      <c r="K4" s="17" t="s">
        <v>87</v>
      </c>
      <c r="M4" s="17" t="s">
        <v>88</v>
      </c>
      <c r="O4" s="17" t="s">
        <v>87</v>
      </c>
      <c r="Q4" s="22"/>
      <c r="S4" s="22"/>
      <c r="U4" s="22"/>
      <c r="W4" s="21"/>
      <c r="Y4" s="21"/>
      <c r="AA4" s="21"/>
    </row>
    <row r="5" spans="2:27" ht="5" customHeight="1" x14ac:dyDescent="0.45"/>
    <row r="6" spans="2:27" ht="53.5" customHeight="1" x14ac:dyDescent="0.45">
      <c r="K6" s="17" t="s">
        <v>87</v>
      </c>
      <c r="M6" s="31" t="s">
        <v>89</v>
      </c>
      <c r="O6" s="17" t="s">
        <v>87</v>
      </c>
      <c r="Q6" s="22"/>
      <c r="S6" s="32" t="s">
        <v>89</v>
      </c>
      <c r="U6" s="22"/>
      <c r="W6" s="21"/>
      <c r="Y6" s="33" t="s">
        <v>89</v>
      </c>
      <c r="AA6" s="21"/>
    </row>
    <row r="7" spans="2:27" ht="5" customHeight="1" x14ac:dyDescent="0.45"/>
    <row r="8" spans="2:27" ht="53.5" customHeight="1" x14ac:dyDescent="0.45">
      <c r="K8" s="17" t="s">
        <v>87</v>
      </c>
      <c r="M8" s="17" t="s">
        <v>87</v>
      </c>
      <c r="O8" s="17" t="s">
        <v>87</v>
      </c>
      <c r="Q8" s="22"/>
      <c r="S8" s="22"/>
      <c r="U8" s="22"/>
      <c r="W8" s="21"/>
      <c r="Y8" s="21"/>
      <c r="AA8" s="21"/>
    </row>
    <row r="9" spans="2:27" ht="5" customHeight="1" x14ac:dyDescent="0.45"/>
    <row r="10" spans="2:27" ht="53.5" customHeight="1" x14ac:dyDescent="0.45">
      <c r="K10" s="23"/>
      <c r="M10" s="23"/>
      <c r="O10" s="23"/>
      <c r="Q10" s="31" t="s">
        <v>90</v>
      </c>
      <c r="S10" s="32" t="s">
        <v>90</v>
      </c>
      <c r="U10" s="33" t="s">
        <v>89</v>
      </c>
      <c r="W10" s="20"/>
      <c r="Y10" s="20"/>
      <c r="AA10" s="20"/>
    </row>
    <row r="11" spans="2:27" ht="5" customHeight="1" x14ac:dyDescent="0.45"/>
    <row r="12" spans="2:27" ht="53.5" customHeight="1" x14ac:dyDescent="0.45">
      <c r="K12" s="23"/>
      <c r="M12" s="35" t="s">
        <v>89</v>
      </c>
      <c r="O12" s="23"/>
      <c r="Q12" s="35" t="s">
        <v>89</v>
      </c>
      <c r="S12" s="30" t="s">
        <v>91</v>
      </c>
      <c r="U12" s="34" t="s">
        <v>89</v>
      </c>
      <c r="W12" s="20"/>
      <c r="Y12" s="34" t="s">
        <v>89</v>
      </c>
      <c r="AA12" s="20"/>
    </row>
    <row r="13" spans="2:27" ht="5" customHeight="1" x14ac:dyDescent="0.45"/>
    <row r="14" spans="2:27" ht="53.5" customHeight="1" x14ac:dyDescent="0.45">
      <c r="K14" s="23"/>
      <c r="M14" s="23"/>
      <c r="O14" s="23"/>
      <c r="Q14" s="36" t="s">
        <v>89</v>
      </c>
      <c r="S14" s="37" t="s">
        <v>89</v>
      </c>
      <c r="U14" s="38" t="s">
        <v>89</v>
      </c>
      <c r="V14" s="39"/>
      <c r="W14" s="20"/>
      <c r="Y14" s="20"/>
      <c r="AA14" s="20"/>
    </row>
    <row r="15" spans="2:27" ht="5" customHeight="1" x14ac:dyDescent="0.45"/>
    <row r="16" spans="2:27" ht="53.5" customHeight="1" x14ac:dyDescent="0.45">
      <c r="K16" s="24"/>
      <c r="M16" s="24"/>
      <c r="O16" s="24"/>
      <c r="Q16" s="18"/>
      <c r="S16" s="18"/>
      <c r="U16" s="18"/>
      <c r="W16" s="19"/>
      <c r="Y16" s="19"/>
      <c r="AA16" s="19"/>
    </row>
    <row r="17" spans="11:27" ht="5" customHeight="1" x14ac:dyDescent="0.45"/>
    <row r="18" spans="11:27" ht="53.5" customHeight="1" x14ac:dyDescent="0.45">
      <c r="K18" s="24"/>
      <c r="M18" s="36" t="s">
        <v>89</v>
      </c>
      <c r="O18" s="24"/>
      <c r="Q18" s="18"/>
      <c r="S18" s="37" t="s">
        <v>89</v>
      </c>
      <c r="U18" s="18"/>
      <c r="W18" s="19"/>
      <c r="Y18" s="38" t="s">
        <v>89</v>
      </c>
      <c r="AA18" s="19"/>
    </row>
    <row r="19" spans="11:27" ht="5" customHeight="1" x14ac:dyDescent="0.45"/>
    <row r="20" spans="11:27" ht="53.5" customHeight="1" x14ac:dyDescent="0.45">
      <c r="K20" s="24"/>
      <c r="M20" s="24"/>
      <c r="O20" s="24"/>
      <c r="Q20" s="18"/>
      <c r="S20" s="18"/>
      <c r="U20" s="18"/>
      <c r="W20" s="19"/>
      <c r="Y20" s="19"/>
      <c r="AA20" s="19"/>
    </row>
    <row r="21" spans="11:27" ht="5" customHeight="1" x14ac:dyDescent="0.45"/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8EA5-8A39-45F7-877C-0D89A6DF31D1}">
  <sheetPr codeName="Sheet8">
    <tabColor theme="0" tint="-0.14999847407452621"/>
  </sheetPr>
  <dimension ref="B1:C9"/>
  <sheetViews>
    <sheetView showGridLines="0" zoomScale="85" zoomScaleNormal="85" workbookViewId="0">
      <selection activeCell="C9" sqref="C9"/>
    </sheetView>
  </sheetViews>
  <sheetFormatPr defaultRowHeight="17" x14ac:dyDescent="0.45"/>
  <cols>
    <col min="1" max="1" width="8.6640625" style="3"/>
    <col min="3" max="3" width="8.6640625" customWidth="1"/>
    <col min="4" max="16384" width="8.6640625" style="3"/>
  </cols>
  <sheetData>
    <row r="1" spans="2:3" ht="17" customHeight="1" x14ac:dyDescent="0.45">
      <c r="B1" s="86"/>
      <c r="C1" s="86"/>
    </row>
    <row r="2" spans="2:3" ht="17" customHeight="1" x14ac:dyDescent="0.45">
      <c r="B2" s="86" t="s">
        <v>104</v>
      </c>
      <c r="C2" s="86"/>
    </row>
    <row r="3" spans="2:3" x14ac:dyDescent="0.45">
      <c r="B3" s="86" t="s">
        <v>102</v>
      </c>
      <c r="C3" s="86"/>
    </row>
    <row r="4" spans="2:3" x14ac:dyDescent="0.45">
      <c r="B4" s="86"/>
      <c r="C4" s="86"/>
    </row>
    <row r="5" spans="2:3" x14ac:dyDescent="0.45">
      <c r="B5" s="86" t="s">
        <v>103</v>
      </c>
      <c r="C5" s="86"/>
    </row>
    <row r="6" spans="2:3" x14ac:dyDescent="0.45">
      <c r="B6" s="86"/>
      <c r="C6" s="86"/>
    </row>
    <row r="7" spans="2:3" x14ac:dyDescent="0.45">
      <c r="B7" s="11" t="s">
        <v>21</v>
      </c>
      <c r="C7" s="11" t="s">
        <v>24</v>
      </c>
    </row>
    <row r="8" spans="2:3" x14ac:dyDescent="0.45">
      <c r="B8" s="40" t="s">
        <v>22</v>
      </c>
      <c r="C8" s="41" t="s">
        <v>73</v>
      </c>
    </row>
    <row r="9" spans="2:3" x14ac:dyDescent="0.45">
      <c r="B9" s="40" t="s">
        <v>23</v>
      </c>
      <c r="C9" s="40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DBCC-ACDE-4A58-8B87-08B54D2B40C3}">
  <sheetPr>
    <tabColor theme="0" tint="-0.14999847407452621"/>
  </sheetPr>
  <dimension ref="B1:D51"/>
  <sheetViews>
    <sheetView showGridLines="0" tabSelected="1" zoomScale="85" zoomScaleNormal="85" workbookViewId="0"/>
  </sheetViews>
  <sheetFormatPr defaultRowHeight="17" x14ac:dyDescent="0.45"/>
  <cols>
    <col min="2" max="2" width="11.6640625" customWidth="1"/>
    <col min="3" max="3" width="34.1640625" customWidth="1"/>
    <col min="4" max="4" width="22.08203125" customWidth="1"/>
    <col min="5" max="5" width="7.1640625" customWidth="1"/>
    <col min="6" max="6" width="7.08203125" customWidth="1"/>
    <col min="7" max="7" width="34.75" customWidth="1"/>
    <col min="10" max="10" width="5" bestFit="1" customWidth="1"/>
    <col min="11" max="11" width="6.83203125" customWidth="1"/>
    <col min="12" max="12" width="35.25" customWidth="1"/>
  </cols>
  <sheetData>
    <row r="1" spans="2:4" ht="17" customHeight="1" x14ac:dyDescent="0.45"/>
    <row r="2" spans="2:4" ht="17" customHeight="1" x14ac:dyDescent="0.45">
      <c r="B2" t="s">
        <v>101</v>
      </c>
    </row>
    <row r="3" spans="2:4" ht="17" customHeight="1" x14ac:dyDescent="0.45">
      <c r="B3" s="11"/>
      <c r="C3" s="82"/>
      <c r="D3" s="83"/>
    </row>
    <row r="4" spans="2:4" ht="17" customHeight="1" x14ac:dyDescent="0.45">
      <c r="B4" s="2" t="s">
        <v>82</v>
      </c>
      <c r="C4" s="82"/>
      <c r="D4" s="83"/>
    </row>
    <row r="5" spans="2:4" ht="17" customHeight="1" x14ac:dyDescent="0.45">
      <c r="B5" s="2"/>
      <c r="C5" s="82"/>
      <c r="D5" s="83"/>
    </row>
    <row r="6" spans="2:4" ht="17" customHeight="1" x14ac:dyDescent="0.45">
      <c r="B6" s="2" t="s">
        <v>94</v>
      </c>
      <c r="C6" s="84"/>
      <c r="D6" s="83"/>
    </row>
    <row r="7" spans="2:4" ht="17" customHeight="1" x14ac:dyDescent="0.45">
      <c r="B7" s="2" t="s">
        <v>95</v>
      </c>
      <c r="C7" s="84"/>
      <c r="D7" s="83"/>
    </row>
    <row r="8" spans="2:4" ht="17" customHeight="1" x14ac:dyDescent="0.45">
      <c r="B8" s="2" t="s">
        <v>110</v>
      </c>
      <c r="C8" s="83"/>
      <c r="D8" s="83"/>
    </row>
    <row r="9" spans="2:4" ht="17" customHeight="1" x14ac:dyDescent="0.45">
      <c r="B9" s="2"/>
      <c r="C9" s="83"/>
      <c r="D9" s="83"/>
    </row>
    <row r="10" spans="2:4" ht="17" customHeight="1" x14ac:dyDescent="0.45">
      <c r="B10" s="2" t="s">
        <v>96</v>
      </c>
      <c r="C10" s="83"/>
      <c r="D10" s="83"/>
    </row>
    <row r="11" spans="2:4" ht="17" customHeight="1" x14ac:dyDescent="0.45">
      <c r="B11" s="2" t="s">
        <v>97</v>
      </c>
      <c r="C11" s="83"/>
      <c r="D11" s="83"/>
    </row>
    <row r="12" spans="2:4" ht="17" customHeight="1" x14ac:dyDescent="0.45">
      <c r="C12" s="83"/>
      <c r="D12" s="83"/>
    </row>
    <row r="13" spans="2:4" ht="17" customHeight="1" x14ac:dyDescent="0.45">
      <c r="B13" s="2" t="s">
        <v>108</v>
      </c>
      <c r="C13" s="54" t="s">
        <v>100</v>
      </c>
      <c r="D13" s="83"/>
    </row>
    <row r="14" spans="2:4" ht="17" customHeight="1" x14ac:dyDescent="0.45">
      <c r="B14" s="2" t="s">
        <v>107</v>
      </c>
      <c r="C14" s="54" t="s">
        <v>109</v>
      </c>
      <c r="D14" s="83"/>
    </row>
    <row r="15" spans="2:4" ht="17" customHeight="1" x14ac:dyDescent="0.45"/>
    <row r="16" spans="2:4" ht="17" customHeight="1" x14ac:dyDescent="0.45">
      <c r="B16" t="s">
        <v>98</v>
      </c>
    </row>
    <row r="17" spans="2:4" ht="17" customHeight="1" x14ac:dyDescent="0.45">
      <c r="B17" t="s">
        <v>99</v>
      </c>
    </row>
    <row r="18" spans="2:4" ht="17" customHeight="1" x14ac:dyDescent="0.45">
      <c r="B18" t="s">
        <v>71</v>
      </c>
      <c r="C18" s="54" t="s">
        <v>83</v>
      </c>
    </row>
    <row r="19" spans="2:4" ht="17" customHeight="1" x14ac:dyDescent="0.45">
      <c r="C19" s="54"/>
    </row>
    <row r="20" spans="2:4" ht="17" customHeight="1" x14ac:dyDescent="0.45">
      <c r="B20" t="s">
        <v>84</v>
      </c>
      <c r="C20" s="54"/>
    </row>
    <row r="21" spans="2:4" ht="17" customHeight="1" x14ac:dyDescent="0.45">
      <c r="B21" s="2" t="s">
        <v>85</v>
      </c>
    </row>
    <row r="22" spans="2:4" ht="17" customHeight="1" x14ac:dyDescent="0.45">
      <c r="B22" s="2"/>
    </row>
    <row r="23" spans="2:4" ht="17" customHeight="1" x14ac:dyDescent="0.45"/>
    <row r="24" spans="2:4" ht="17" customHeight="1" x14ac:dyDescent="0.45">
      <c r="B24" s="2" t="s">
        <v>86</v>
      </c>
    </row>
    <row r="25" spans="2:4" ht="17" customHeight="1" x14ac:dyDescent="0.45">
      <c r="C25" s="55"/>
      <c r="D25" s="56"/>
    </row>
    <row r="26" spans="2:4" ht="17" customHeight="1" x14ac:dyDescent="0.45">
      <c r="C26" s="55"/>
      <c r="D26" s="56"/>
    </row>
    <row r="27" spans="2:4" ht="17" customHeight="1" thickBot="1" x14ac:dyDescent="0.5">
      <c r="C27" s="55"/>
      <c r="D27" s="56"/>
    </row>
    <row r="28" spans="2:4" ht="17" customHeight="1" x14ac:dyDescent="0.45">
      <c r="B28" s="6"/>
      <c r="C28" s="7" t="s">
        <v>106</v>
      </c>
      <c r="D28" s="56"/>
    </row>
    <row r="29" spans="2:4" ht="17" customHeight="1" thickBot="1" x14ac:dyDescent="0.5">
      <c r="B29" s="8"/>
      <c r="C29" s="9" t="s">
        <v>105</v>
      </c>
      <c r="D29" s="56"/>
    </row>
    <row r="30" spans="2:4" ht="17" customHeight="1" thickBot="1" x14ac:dyDescent="0.5">
      <c r="C30" s="55"/>
      <c r="D30" s="56"/>
    </row>
    <row r="31" spans="2:4" ht="17" customHeight="1" x14ac:dyDescent="0.45">
      <c r="B31" s="6"/>
      <c r="C31" s="7" t="s">
        <v>36</v>
      </c>
    </row>
    <row r="32" spans="2:4" ht="17" customHeight="1" thickBot="1" x14ac:dyDescent="0.5">
      <c r="B32" s="8"/>
      <c r="C32" s="9" t="s">
        <v>74</v>
      </c>
      <c r="D32" s="57"/>
    </row>
    <row r="33" spans="2:4" ht="17" customHeight="1" thickBot="1" x14ac:dyDescent="0.5">
      <c r="C33" s="10"/>
      <c r="D33" s="57"/>
    </row>
    <row r="34" spans="2:4" ht="17" customHeight="1" x14ac:dyDescent="0.45">
      <c r="B34" s="6"/>
      <c r="C34" s="7" t="s">
        <v>37</v>
      </c>
      <c r="D34" s="57"/>
    </row>
    <row r="35" spans="2:4" ht="17" customHeight="1" thickBot="1" x14ac:dyDescent="0.5">
      <c r="B35" s="8"/>
      <c r="C35" s="9" t="s">
        <v>75</v>
      </c>
    </row>
    <row r="36" spans="2:4" ht="17" customHeight="1" thickBot="1" x14ac:dyDescent="0.5">
      <c r="C36" s="10"/>
    </row>
    <row r="37" spans="2:4" ht="17" customHeight="1" x14ac:dyDescent="0.45">
      <c r="B37" s="6"/>
      <c r="C37" s="7" t="s">
        <v>76</v>
      </c>
    </row>
    <row r="38" spans="2:4" ht="17" customHeight="1" thickBot="1" x14ac:dyDescent="0.5">
      <c r="B38" s="8"/>
      <c r="C38" s="9" t="s">
        <v>77</v>
      </c>
    </row>
    <row r="39" spans="2:4" ht="17" customHeight="1" thickBot="1" x14ac:dyDescent="0.5"/>
    <row r="40" spans="2:4" ht="17" customHeight="1" x14ac:dyDescent="0.45">
      <c r="B40" s="6"/>
      <c r="C40" s="7" t="s">
        <v>70</v>
      </c>
    </row>
    <row r="41" spans="2:4" ht="17" customHeight="1" thickBot="1" x14ac:dyDescent="0.5">
      <c r="B41" s="8"/>
      <c r="C41" s="9" t="s">
        <v>78</v>
      </c>
    </row>
    <row r="42" spans="2:4" ht="17" customHeight="1" x14ac:dyDescent="0.45">
      <c r="B42" s="2"/>
      <c r="D42" s="56"/>
    </row>
    <row r="43" spans="2:4" ht="17" customHeight="1" x14ac:dyDescent="0.45">
      <c r="B43" s="2"/>
      <c r="D43" s="56"/>
    </row>
    <row r="44" spans="2:4" ht="17" customHeight="1" x14ac:dyDescent="0.45">
      <c r="B44" s="2"/>
      <c r="D44" s="56"/>
    </row>
    <row r="45" spans="2:4" ht="17" customHeight="1" x14ac:dyDescent="0.45">
      <c r="D45" s="57"/>
    </row>
    <row r="46" spans="2:4" x14ac:dyDescent="0.45">
      <c r="D46" s="57"/>
    </row>
    <row r="47" spans="2:4" x14ac:dyDescent="0.45">
      <c r="D47" s="57"/>
    </row>
    <row r="48" spans="2:4" x14ac:dyDescent="0.45">
      <c r="D48" s="56"/>
    </row>
    <row r="49" spans="4:4" x14ac:dyDescent="0.45">
      <c r="D49" s="56"/>
    </row>
    <row r="50" spans="4:4" x14ac:dyDescent="0.45">
      <c r="D50" s="56"/>
    </row>
    <row r="51" spans="4:4" x14ac:dyDescent="0.45">
      <c r="D51" s="56"/>
    </row>
  </sheetData>
  <phoneticPr fontId="1" type="noConversion"/>
  <hyperlinks>
    <hyperlink ref="C35" r:id="rId1" xr:uid="{6B9563F5-B56D-49B5-808F-EE7E34A627D5}"/>
    <hyperlink ref="C41" r:id="rId2" xr:uid="{CD5C4BAB-C8A0-452B-AAD2-5A4F7E7CF030}"/>
    <hyperlink ref="C18" r:id="rId3" xr:uid="{D04C0EB3-0BA0-4905-9523-0D7DCCB16D46}"/>
    <hyperlink ref="C38" r:id="rId4" xr:uid="{46541CCD-EEDB-464E-A84B-7D93AAD393A2}"/>
    <hyperlink ref="C32" r:id="rId5" xr:uid="{746F74AB-819E-4481-96B1-40B84D685088}"/>
    <hyperlink ref="C13" r:id="rId6" xr:uid="{E6637234-51D7-4755-BF3C-8B96E0E62DE6}"/>
    <hyperlink ref="C29" r:id="rId7" xr:uid="{B50313CF-F80F-43A5-B79E-6A4BDAA2162E}"/>
    <hyperlink ref="C14" r:id="rId8" xr:uid="{C4B70C67-32A4-4BB2-9C96-C165037B34B1}"/>
  </hyperlinks>
  <pageMargins left="0.7" right="0.7" top="0.75" bottom="0.75" header="0.3" footer="0.3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22A0-9B81-45C1-A26A-A0C2624BC66B}">
  <sheetPr codeName="Sheet411"/>
  <dimension ref="A2:AA23"/>
  <sheetViews>
    <sheetView workbookViewId="0"/>
  </sheetViews>
  <sheetFormatPr defaultRowHeight="17" x14ac:dyDescent="0.45"/>
  <cols>
    <col min="1" max="1" width="7.58203125" customWidth="1"/>
    <col min="4" max="4" width="11.4140625" bestFit="1" customWidth="1"/>
    <col min="6" max="6" width="11.4140625" bestFit="1" customWidth="1"/>
    <col min="8" max="8" width="11.4140625" bestFit="1" customWidth="1"/>
    <col min="10" max="11" width="11.4140625" bestFit="1" customWidth="1"/>
    <col min="12" max="12" width="5" bestFit="1" customWidth="1"/>
    <col min="13" max="14" width="6.83203125" bestFit="1" customWidth="1"/>
    <col min="15" max="15" width="9.33203125" bestFit="1" customWidth="1"/>
    <col min="16" max="16" width="9.75" customWidth="1"/>
    <col min="17" max="17" width="7.58203125" customWidth="1"/>
    <col min="18" max="19" width="4.58203125" bestFit="1" customWidth="1"/>
    <col min="20" max="20" width="8.9140625" customWidth="1"/>
    <col min="21" max="21" width="11.25" bestFit="1" customWidth="1"/>
    <col min="22" max="22" width="11.5" customWidth="1"/>
    <col min="25" max="25" width="11.4140625" bestFit="1" customWidth="1"/>
    <col min="27" max="27" width="11.4140625" bestFit="1" customWidth="1"/>
  </cols>
  <sheetData>
    <row r="2" spans="1:27" x14ac:dyDescent="0.45">
      <c r="D2" t="s">
        <v>51</v>
      </c>
      <c r="F2" t="s">
        <v>52</v>
      </c>
      <c r="H2" t="s">
        <v>53</v>
      </c>
      <c r="T2" t="s">
        <v>51</v>
      </c>
      <c r="Y2" t="s">
        <v>44</v>
      </c>
      <c r="AA2" s="1" t="s">
        <v>1</v>
      </c>
    </row>
    <row r="3" spans="1:27" x14ac:dyDescent="0.45">
      <c r="A3" s="15" t="s">
        <v>0</v>
      </c>
      <c r="B3" s="15" t="s">
        <v>15</v>
      </c>
      <c r="D3" s="1" t="s">
        <v>1</v>
      </c>
      <c r="F3" s="1" t="s">
        <v>1</v>
      </c>
      <c r="H3" s="1" t="s">
        <v>1</v>
      </c>
      <c r="J3" s="15" t="s">
        <v>27</v>
      </c>
      <c r="K3" s="15">
        <f>IFERROR(GETPIVOTDATA("업무",$J$13), 0)</f>
        <v>10</v>
      </c>
      <c r="N3" s="15"/>
      <c r="O3" s="15" t="s">
        <v>18</v>
      </c>
      <c r="P3" s="15" t="s">
        <v>30</v>
      </c>
      <c r="Q3" s="15" t="s">
        <v>31</v>
      </c>
      <c r="T3" s="3">
        <v>2026</v>
      </c>
      <c r="U3" s="3">
        <f>피벗!D4</f>
        <v>9</v>
      </c>
      <c r="V3" s="14">
        <f>DATE(T3,U3,1)</f>
        <v>46266</v>
      </c>
      <c r="W3" s="3">
        <f>WEEKDAY(V3,1)</f>
        <v>3</v>
      </c>
      <c r="Y3" t="s">
        <v>54</v>
      </c>
      <c r="AA3" s="2" t="s">
        <v>55</v>
      </c>
    </row>
    <row r="4" spans="1:27" x14ac:dyDescent="0.45">
      <c r="A4" s="15">
        <v>1</v>
      </c>
      <c r="B4" s="15" t="s">
        <v>3</v>
      </c>
      <c r="D4" s="2">
        <v>9</v>
      </c>
      <c r="F4" s="2">
        <v>3</v>
      </c>
      <c r="H4" s="2">
        <v>4</v>
      </c>
      <c r="J4" s="15" t="s">
        <v>28</v>
      </c>
      <c r="K4" s="15">
        <f>IFERROR(GETPIVOTDATA("업무",$J$13,"상태","시작전"),0)</f>
        <v>4</v>
      </c>
      <c r="N4" s="15" t="s">
        <v>19</v>
      </c>
      <c r="O4" s="15">
        <f>IFERROR(GETPIVOTDATA("업무",$J$13,"우선순위","높음"),0)</f>
        <v>3</v>
      </c>
      <c r="P4" s="15">
        <f>IFERROR(GETPIVOTDATA("업무",$J$13,"우선순위","높음","상태","완료"),0)</f>
        <v>1</v>
      </c>
      <c r="Q4" s="15" t="str">
        <f>IF(O4=0,"",P4&amp;" / "&amp;O4)</f>
        <v>1 / 3</v>
      </c>
      <c r="T4" s="4">
        <f>T3</f>
        <v>2026</v>
      </c>
      <c r="U4" s="5">
        <f>U3</f>
        <v>9</v>
      </c>
      <c r="V4" s="3"/>
      <c r="W4" s="3">
        <f>WEEKDAY(V3,2)</f>
        <v>2</v>
      </c>
      <c r="Y4" t="s">
        <v>56</v>
      </c>
      <c r="AA4" s="2" t="s">
        <v>2</v>
      </c>
    </row>
    <row r="5" spans="1:27" x14ac:dyDescent="0.45">
      <c r="A5" s="15">
        <v>2</v>
      </c>
      <c r="B5" s="15" t="s">
        <v>14</v>
      </c>
      <c r="D5" s="2" t="s">
        <v>2</v>
      </c>
      <c r="F5" s="2" t="s">
        <v>2</v>
      </c>
      <c r="H5" s="2" t="s">
        <v>2</v>
      </c>
      <c r="J5" s="15" t="s">
        <v>29</v>
      </c>
      <c r="K5" s="15">
        <f>IFERROR(GETPIVOTDATA("업무",$J$13,"상태","진행중"), 0)</f>
        <v>3</v>
      </c>
      <c r="N5" s="15" t="s">
        <v>26</v>
      </c>
      <c r="O5" s="15">
        <f>IFERROR(GETPIVOTDATA("업무",$J$13,"우선순위","중간"),0)</f>
        <v>3</v>
      </c>
      <c r="P5" s="15">
        <f>IFERROR(GETPIVOTDATA("업무",$J$13,"우선순위","중간","상태","완료"),0)</f>
        <v>1</v>
      </c>
      <c r="Q5" s="15" t="str">
        <f>IF(O5=0,"",P5&amp;" / "&amp;O5)</f>
        <v>1 / 3</v>
      </c>
    </row>
    <row r="6" spans="1:27" x14ac:dyDescent="0.45">
      <c r="A6" s="15">
        <v>3</v>
      </c>
      <c r="B6" s="15" t="s">
        <v>4</v>
      </c>
      <c r="J6" s="15" t="s">
        <v>30</v>
      </c>
      <c r="K6" s="15">
        <f>IFERROR(GETPIVOTDATA("업무",$J$13,"상태","완료"), 0)</f>
        <v>3</v>
      </c>
      <c r="N6" s="15" t="s">
        <v>20</v>
      </c>
      <c r="O6" s="15">
        <f>IFERROR(GETPIVOTDATA("업무",$J$13,"우선순위","낮음"),0)</f>
        <v>4</v>
      </c>
      <c r="P6" s="15">
        <f>IFERROR(GETPIVOTDATA("업무",$J$13,"우선순위","낮음","상태","완료"),0)</f>
        <v>1</v>
      </c>
      <c r="Q6" s="15" t="str">
        <f>IF(O6=0,"",P6&amp;" / "&amp;O6)</f>
        <v>1 / 4</v>
      </c>
      <c r="T6" t="s">
        <v>52</v>
      </c>
    </row>
    <row r="7" spans="1:27" x14ac:dyDescent="0.45">
      <c r="A7" s="15">
        <v>4</v>
      </c>
      <c r="B7" s="15" t="s">
        <v>5</v>
      </c>
      <c r="N7" s="15" t="s">
        <v>33</v>
      </c>
      <c r="O7" s="15">
        <f>IFERROR(GETPIVOTDATA("업무",$J$13,"우선순위",),0)</f>
        <v>0</v>
      </c>
      <c r="P7" s="15">
        <f>IFERROR(GETPIVOTDATA("업무",$J$13,"우선순위",,"상태","완료"),0)</f>
        <v>0</v>
      </c>
      <c r="Q7" s="15" t="str">
        <f>IF(O7=0,"",P7&amp;" / "&amp;O7)</f>
        <v/>
      </c>
      <c r="T7" s="3">
        <v>2026</v>
      </c>
      <c r="U7" s="3">
        <f>피벗!F4</f>
        <v>3</v>
      </c>
      <c r="V7" s="14">
        <f>DATE(T7,U7,1)</f>
        <v>46082</v>
      </c>
      <c r="W7" s="3">
        <f>WEEKDAY(V7,1)</f>
        <v>1</v>
      </c>
    </row>
    <row r="8" spans="1:27" x14ac:dyDescent="0.45">
      <c r="A8" s="15">
        <v>5</v>
      </c>
      <c r="B8" s="15" t="s">
        <v>6</v>
      </c>
      <c r="N8" s="15" t="s">
        <v>27</v>
      </c>
      <c r="O8" s="15">
        <f>IFERROR(GETPIVOTDATA("업무",$J$13),0)</f>
        <v>10</v>
      </c>
      <c r="P8" s="15">
        <f>IFERROR(GETPIVOTDATA("업무",$J$13,"상태","완료"),0)</f>
        <v>3</v>
      </c>
      <c r="Q8" s="15" t="str">
        <f>IF(O8=0,"",P8&amp;" / "&amp;O8)</f>
        <v>3 / 10</v>
      </c>
      <c r="T8" s="4">
        <f>T7</f>
        <v>2026</v>
      </c>
      <c r="U8" s="5">
        <f>U7</f>
        <v>3</v>
      </c>
      <c r="V8" s="14">
        <f>DATE(T7,U7,1)+IF(WEEKDAY(DATE(T7,U7,1),2)&lt;=4,-(WEEKDAY(DATE(T7,U7,1),2)-1),8-WEEKDAY(DATE(T7,U7,1),2))</f>
        <v>46083</v>
      </c>
      <c r="W8" s="3">
        <f>WEEKDAY(V7,2)</f>
        <v>7</v>
      </c>
    </row>
    <row r="9" spans="1:27" x14ac:dyDescent="0.45">
      <c r="A9" s="15">
        <v>6</v>
      </c>
      <c r="B9" s="15" t="s">
        <v>7</v>
      </c>
      <c r="AA9" s="1" t="s">
        <v>1</v>
      </c>
    </row>
    <row r="10" spans="1:27" x14ac:dyDescent="0.45">
      <c r="A10" s="15">
        <v>7</v>
      </c>
      <c r="B10" s="15" t="s">
        <v>8</v>
      </c>
      <c r="O10" s="11" t="s">
        <v>47</v>
      </c>
      <c r="P10" s="11" t="s">
        <v>48</v>
      </c>
      <c r="T10" t="s">
        <v>63</v>
      </c>
      <c r="AA10" s="2" t="s">
        <v>79</v>
      </c>
    </row>
    <row r="11" spans="1:27" x14ac:dyDescent="0.45">
      <c r="A11" s="15">
        <v>8</v>
      </c>
      <c r="B11" s="15" t="s">
        <v>9</v>
      </c>
      <c r="O11" s="12">
        <f>IFERROR(P8/O8,0)</f>
        <v>0.3</v>
      </c>
      <c r="P11" s="12">
        <f>1-O11</f>
        <v>0.7</v>
      </c>
      <c r="T11">
        <f>ROW(할일표[[#Headers],[구분]])</f>
        <v>9</v>
      </c>
      <c r="AA11" s="2" t="s">
        <v>2</v>
      </c>
    </row>
    <row r="12" spans="1:27" x14ac:dyDescent="0.45">
      <c r="A12" s="15">
        <v>9</v>
      </c>
      <c r="B12" s="15" t="s">
        <v>10</v>
      </c>
    </row>
    <row r="13" spans="1:27" x14ac:dyDescent="0.45">
      <c r="A13" s="15">
        <v>10</v>
      </c>
      <c r="B13" s="15" t="s">
        <v>11</v>
      </c>
      <c r="J13" s="1" t="s">
        <v>25</v>
      </c>
      <c r="K13" s="1" t="s">
        <v>38</v>
      </c>
    </row>
    <row r="14" spans="1:27" x14ac:dyDescent="0.45">
      <c r="A14" s="15">
        <v>11</v>
      </c>
      <c r="B14" s="15" t="s">
        <v>12</v>
      </c>
      <c r="J14" s="1" t="s">
        <v>1</v>
      </c>
      <c r="K14" t="s">
        <v>43</v>
      </c>
      <c r="L14" t="s">
        <v>72</v>
      </c>
      <c r="M14" t="s">
        <v>80</v>
      </c>
      <c r="N14" t="s">
        <v>2</v>
      </c>
    </row>
    <row r="15" spans="1:27" x14ac:dyDescent="0.45">
      <c r="A15" s="15">
        <v>12</v>
      </c>
      <c r="B15" s="15" t="s">
        <v>13</v>
      </c>
      <c r="J15" s="2" t="s">
        <v>39</v>
      </c>
      <c r="K15">
        <v>1</v>
      </c>
      <c r="L15">
        <v>1</v>
      </c>
      <c r="M15">
        <v>1</v>
      </c>
      <c r="N15">
        <v>3</v>
      </c>
    </row>
    <row r="16" spans="1:27" x14ac:dyDescent="0.45">
      <c r="J16" s="2" t="s">
        <v>41</v>
      </c>
      <c r="K16">
        <v>1</v>
      </c>
      <c r="L16">
        <v>1</v>
      </c>
      <c r="M16">
        <v>1</v>
      </c>
      <c r="N16">
        <v>3</v>
      </c>
    </row>
    <row r="17" spans="1:14" x14ac:dyDescent="0.45">
      <c r="J17" s="2" t="s">
        <v>42</v>
      </c>
      <c r="K17">
        <v>2</v>
      </c>
      <c r="L17">
        <v>1</v>
      </c>
      <c r="M17">
        <v>1</v>
      </c>
      <c r="N17">
        <v>4</v>
      </c>
    </row>
    <row r="18" spans="1:14" x14ac:dyDescent="0.45">
      <c r="A18" s="15" t="s">
        <v>49</v>
      </c>
      <c r="J18" s="2" t="s">
        <v>2</v>
      </c>
      <c r="K18">
        <v>4</v>
      </c>
      <c r="L18">
        <v>3</v>
      </c>
      <c r="M18">
        <v>3</v>
      </c>
      <c r="N18">
        <v>10</v>
      </c>
    </row>
    <row r="19" spans="1:14" x14ac:dyDescent="0.45">
      <c r="A19" s="15">
        <v>1</v>
      </c>
    </row>
    <row r="20" spans="1:14" x14ac:dyDescent="0.45">
      <c r="A20" s="15">
        <v>2</v>
      </c>
    </row>
    <row r="21" spans="1:14" x14ac:dyDescent="0.45">
      <c r="A21" s="15">
        <v>3</v>
      </c>
    </row>
    <row r="22" spans="1:14" x14ac:dyDescent="0.45">
      <c r="A22" s="15">
        <v>4</v>
      </c>
    </row>
    <row r="23" spans="1:14" x14ac:dyDescent="0.45">
      <c r="A23" s="15">
        <v>5</v>
      </c>
    </row>
  </sheetData>
  <phoneticPr fontId="1" type="noConversion"/>
  <dataValidations count="1">
    <dataValidation allowBlank="1" showInputMessage="1" showErrorMessage="1" prompt="피벗테이블 시트 수정 금지" sqref="A1" xr:uid="{60F5FA0C-0390-469D-8ED8-521B23E20957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달력</vt:lpstr>
      <vt:lpstr>할일</vt:lpstr>
      <vt:lpstr>만다라트</vt:lpstr>
      <vt:lpstr>세팅</vt:lpstr>
      <vt:lpstr>설명서</vt:lpstr>
      <vt:lpstr>피벗</vt:lpstr>
      <vt:lpstr>달력!날짜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 JAE KIM</dc:creator>
  <cp:lastModifiedBy>HYUN JAE KIM</cp:lastModifiedBy>
  <dcterms:created xsi:type="dcterms:W3CDTF">2025-06-08T02:21:46Z</dcterms:created>
  <dcterms:modified xsi:type="dcterms:W3CDTF">2026-09-11T08:20:27Z</dcterms:modified>
</cp:coreProperties>
</file>